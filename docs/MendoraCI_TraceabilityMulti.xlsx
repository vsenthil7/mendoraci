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T-Index" sheetId="1" state="visible" r:id="rId3"/>
    <sheet name="BR-Mapping" sheetId="2" state="visible" r:id="rId4"/>
    <sheet name="TestCoverage" sheetId="3" state="visible" r:id="rId5"/>
    <sheet name="EvalCards" sheetId="4" state="visible" r:id="rId6"/>
    <sheet name="RC-Linkage" sheetId="5" state="visible" r:id="rId7"/>
    <sheet name="IMP-Linkage" sheetId="6" state="visible" r:id="rId8"/>
    <sheet name="RiskRegister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<sst xmlns="http://schemas.openxmlformats.org/spreadsheetml/2006/main" count="1076" uniqueCount="628">
  <si>
    <t xml:space="preserve">RT-ID</t>
  </si>
  <si>
    <t xml:space="preserve">Subject</t>
  </si>
  <si>
    <t xml:space="preserve">BG</t>
  </si>
  <si>
    <t xml:space="preserve">BR</t>
  </si>
  <si>
    <t xml:space="preserve">SCR</t>
  </si>
  <si>
    <t xml:space="preserve">API</t>
  </si>
  <si>
    <t xml:space="preserve">DB</t>
  </si>
  <si>
    <t xml:space="preserve">TEST</t>
  </si>
  <si>
    <t xml:space="preserve">EVID</t>
  </si>
  <si>
    <t xml:space="preserve">RC</t>
  </si>
  <si>
    <t xml:space="preserve">IMP</t>
  </si>
  <si>
    <t xml:space="preserve">EVAL</t>
  </si>
  <si>
    <t xml:space="preserve">RT-001</t>
  </si>
  <si>
    <t xml:space="preserve">CI Log Intake</t>
  </si>
  <si>
    <t xml:space="preserve">BG-001</t>
  </si>
  <si>
    <t xml:space="preserve">BR-001</t>
  </si>
  <si>
    <t xml:space="preserve">SCR-001</t>
  </si>
  <si>
    <t xml:space="preserve">API-001, API-002</t>
  </si>
  <si>
    <t xml:space="preserve">DB-001, DB-002</t>
  </si>
  <si>
    <t xml:space="preserve">TEST-001..004</t>
  </si>
  <si>
    <t xml:space="preserve">EVID-001</t>
  </si>
  <si>
    <t xml:space="preserve">RC-001, RC-014</t>
  </si>
  <si>
    <t xml:space="preserve">IMP-016</t>
  </si>
  <si>
    <t xml:space="preserve">—</t>
  </si>
  <si>
    <t xml:space="preserve">RT-002</t>
  </si>
  <si>
    <t xml:space="preserve">Repo Linking</t>
  </si>
  <si>
    <t xml:space="preserve">BR-002</t>
  </si>
  <si>
    <t xml:space="preserve">SCR-002</t>
  </si>
  <si>
    <t xml:space="preserve">API-003</t>
  </si>
  <si>
    <t xml:space="preserve">DB-003, DB-004</t>
  </si>
  <si>
    <t xml:space="preserve">TEST-005..007</t>
  </si>
  <si>
    <t xml:space="preserve">EVID-002</t>
  </si>
  <si>
    <t xml:space="preserve">RC-002, RC-019</t>
  </si>
  <si>
    <t xml:space="preserve">IMP-015</t>
  </si>
  <si>
    <t xml:space="preserve">RT-003</t>
  </si>
  <si>
    <t xml:space="preserve">Root-Cause Analysis</t>
  </si>
  <si>
    <t xml:space="preserve">BG-001, BG-005</t>
  </si>
  <si>
    <t xml:space="preserve">BR-003, BR-012</t>
  </si>
  <si>
    <t xml:space="preserve">SCR-003</t>
  </si>
  <si>
    <t xml:space="preserve">API-004</t>
  </si>
  <si>
    <t xml:space="preserve">DB-005, DB-006</t>
  </si>
  <si>
    <t xml:space="preserve">TEST-008..010</t>
  </si>
  <si>
    <t xml:space="preserve">EVID-003</t>
  </si>
  <si>
    <t xml:space="preserve">RC-003, RC-009</t>
  </si>
  <si>
    <t xml:space="preserve">IMP-009</t>
  </si>
  <si>
    <t xml:space="preserve">EVAL-001</t>
  </si>
  <si>
    <t xml:space="preserve">RT-004</t>
  </si>
  <si>
    <t xml:space="preserve">Repair Plan</t>
  </si>
  <si>
    <t xml:space="preserve">BG-002, BG-005</t>
  </si>
  <si>
    <t xml:space="preserve">BR-004, BR-012</t>
  </si>
  <si>
    <t xml:space="preserve">SCR-004</t>
  </si>
  <si>
    <t xml:space="preserve">API-005</t>
  </si>
  <si>
    <t xml:space="preserve">DB-007</t>
  </si>
  <si>
    <t xml:space="preserve">TEST-011..013</t>
  </si>
  <si>
    <t xml:space="preserve">EVID-004</t>
  </si>
  <si>
    <t xml:space="preserve">RC-004</t>
  </si>
  <si>
    <t xml:space="preserve">IMP-023</t>
  </si>
  <si>
    <t xml:space="preserve">EVAL-002</t>
  </si>
  <si>
    <t xml:space="preserve">RT-005</t>
  </si>
  <si>
    <t xml:space="preserve">Approval Workflow</t>
  </si>
  <si>
    <t xml:space="preserve">BG-004</t>
  </si>
  <si>
    <t xml:space="preserve">BR-005</t>
  </si>
  <si>
    <t xml:space="preserve">SCR-005</t>
  </si>
  <si>
    <t xml:space="preserve">API-006, API-007</t>
  </si>
  <si>
    <t xml:space="preserve">DB-008</t>
  </si>
  <si>
    <t xml:space="preserve">TEST-014..017</t>
  </si>
  <si>
    <t xml:space="preserve">EVID-005</t>
  </si>
  <si>
    <t xml:space="preserve">RC-005, RC-010</t>
  </si>
  <si>
    <t xml:space="preserve">IMP-019</t>
  </si>
  <si>
    <t xml:space="preserve">RT-006</t>
  </si>
  <si>
    <t xml:space="preserve">Evidence Export</t>
  </si>
  <si>
    <t xml:space="preserve">BR-006, BR-011</t>
  </si>
  <si>
    <t xml:space="preserve">SCR-006</t>
  </si>
  <si>
    <t xml:space="preserve">API-008</t>
  </si>
  <si>
    <t xml:space="preserve">DB-009, DB-010</t>
  </si>
  <si>
    <t xml:space="preserve">TEST-018..020</t>
  </si>
  <si>
    <t xml:space="preserve">EVID-006</t>
  </si>
  <si>
    <t xml:space="preserve">RC-006, RC-011</t>
  </si>
  <si>
    <t xml:space="preserve">IMP-025</t>
  </si>
  <si>
    <t xml:space="preserve">RT-007</t>
  </si>
  <si>
    <t xml:space="preserve">Analytics</t>
  </si>
  <si>
    <t xml:space="preserve">BG-006</t>
  </si>
  <si>
    <t xml:space="preserve">BR-007</t>
  </si>
  <si>
    <t xml:space="preserve">SCR-007</t>
  </si>
  <si>
    <t xml:space="preserve">API-009</t>
  </si>
  <si>
    <t xml:space="preserve">DB-011, DB-012</t>
  </si>
  <si>
    <t xml:space="preserve">TEST-021..022</t>
  </si>
  <si>
    <t xml:space="preserve">EVID-007</t>
  </si>
  <si>
    <t xml:space="preserve">RC-007</t>
  </si>
  <si>
    <t xml:space="preserve">IMP-024</t>
  </si>
  <si>
    <t xml:space="preserve">RT-008</t>
  </si>
  <si>
    <t xml:space="preserve">Secret Masking</t>
  </si>
  <si>
    <t xml:space="preserve">BG-004, BG-005</t>
  </si>
  <si>
    <t xml:space="preserve">BR-008</t>
  </si>
  <si>
    <t xml:space="preserve">(cross)</t>
  </si>
  <si>
    <t xml:space="preserve">DB-013</t>
  </si>
  <si>
    <t xml:space="preserve">TEST-023..024</t>
  </si>
  <si>
    <t xml:space="preserve">EVID-008</t>
  </si>
  <si>
    <t xml:space="preserve">RC-008, RC-014, RC-019</t>
  </si>
  <si>
    <t xml:space="preserve">RT-009</t>
  </si>
  <si>
    <t xml:space="preserve">PromptOps Governance</t>
  </si>
  <si>
    <t xml:space="preserve">BG-005</t>
  </si>
  <si>
    <t xml:space="preserve">BR-009</t>
  </si>
  <si>
    <t xml:space="preserve">(admin)</t>
  </si>
  <si>
    <t xml:space="preserve">API-010</t>
  </si>
  <si>
    <t xml:space="preserve">DB-014, DB-015</t>
  </si>
  <si>
    <t xml:space="preserve">TEST-025</t>
  </si>
  <si>
    <t xml:space="preserve">EVID-009</t>
  </si>
  <si>
    <t xml:space="preserve">RC-012, RC-020</t>
  </si>
  <si>
    <t xml:space="preserve">IMP-009, IMP-023</t>
  </si>
  <si>
    <t xml:space="preserve">EVAL-001/002</t>
  </si>
  <si>
    <t xml:space="preserve">RT-010</t>
  </si>
  <si>
    <t xml:space="preserve">Flaky Detection</t>
  </si>
  <si>
    <t xml:space="preserve">BG-003</t>
  </si>
  <si>
    <t xml:space="preserve">BR-010</t>
  </si>
  <si>
    <t xml:space="preserve">SCR-003 sub</t>
  </si>
  <si>
    <t xml:space="preserve">API-004 ext</t>
  </si>
  <si>
    <t xml:space="preserve">DB-016</t>
  </si>
  <si>
    <t xml:space="preserve">TEST-026</t>
  </si>
  <si>
    <t xml:space="preserve">EVID-010</t>
  </si>
  <si>
    <t xml:space="preserve">RC-013</t>
  </si>
  <si>
    <t xml:space="preserve">RT-011</t>
  </si>
  <si>
    <t xml:space="preserve">Audit Schema</t>
  </si>
  <si>
    <t xml:space="preserve">BR-011</t>
  </si>
  <si>
    <t xml:space="preserve">(export)</t>
  </si>
  <si>
    <t xml:space="preserve">DB-010</t>
  </si>
  <si>
    <t xml:space="preserve">TEST-027</t>
  </si>
  <si>
    <t xml:space="preserve">EVID-011</t>
  </si>
  <si>
    <t xml:space="preserve">RC-015</t>
  </si>
  <si>
    <t xml:space="preserve">RT-012</t>
  </si>
  <si>
    <t xml:space="preserve">Eval Gate Enforcement</t>
  </si>
  <si>
    <t xml:space="preserve">BR-012</t>
  </si>
  <si>
    <t xml:space="preserve">(CI internal)</t>
  </si>
  <si>
    <t xml:space="preserve">(internal)</t>
  </si>
  <si>
    <t xml:space="preserve">DB-017, DB-018</t>
  </si>
  <si>
    <t xml:space="preserve">TEST-028</t>
  </si>
  <si>
    <t xml:space="preserve">EVID-012</t>
  </si>
  <si>
    <t xml:space="preserve">RC-016</t>
  </si>
  <si>
    <t xml:space="preserve">IMP-022</t>
  </si>
  <si>
    <t xml:space="preserve">RT-013</t>
  </si>
  <si>
    <t xml:space="preserve">Multi-Tenant Isolation</t>
  </si>
  <si>
    <t xml:space="preserve">(NFR)</t>
  </si>
  <si>
    <t xml:space="preserve">all</t>
  </si>
  <si>
    <t xml:space="preserve">tenant_id RLS</t>
  </si>
  <si>
    <t xml:space="preserve">TEST-013-A</t>
  </si>
  <si>
    <t xml:space="preserve">EVID-013</t>
  </si>
  <si>
    <t xml:space="preserve">RC-006, RC-021</t>
  </si>
  <si>
    <t xml:space="preserve">IMP-020</t>
  </si>
  <si>
    <t xml:space="preserve">RT-014</t>
  </si>
  <si>
    <t xml:space="preserve">Role/Permission Model</t>
  </si>
  <si>
    <t xml:space="preserve">SCR-005 admin</t>
  </si>
  <si>
    <t xml:space="preserve">API-006</t>
  </si>
  <si>
    <t xml:space="preserve">DB-008 + role_perms</t>
  </si>
  <si>
    <t xml:space="preserve">TEST-014-A</t>
  </si>
  <si>
    <t xml:space="preserve">EVID-014</t>
  </si>
  <si>
    <t xml:space="preserve">RC-022</t>
  </si>
  <si>
    <t xml:space="preserve">RT-015</t>
  </si>
  <si>
    <t xml:space="preserve">Idempotency &amp; Replay</t>
  </si>
  <si>
    <t xml:space="preserve">API-001</t>
  </si>
  <si>
    <t xml:space="preserve">idempotency_keys</t>
  </si>
  <si>
    <t xml:space="preserve">TEST-001-A</t>
  </si>
  <si>
    <t xml:space="preserve">(rolls EVID-001)</t>
  </si>
  <si>
    <t xml:space="preserve">RC-023</t>
  </si>
  <si>
    <t xml:space="preserve">RT-016</t>
  </si>
  <si>
    <t xml:space="preserve">Cost Ceiling Enforcement</t>
  </si>
  <si>
    <t xml:space="preserve">SCR-007 admin</t>
  </si>
  <si>
    <t xml:space="preserve">tenant_quotas</t>
  </si>
  <si>
    <t xml:space="preserve">TEST-021-A</t>
  </si>
  <si>
    <t xml:space="preserve">RC-024</t>
  </si>
  <si>
    <t xml:space="preserve">IMP-017</t>
  </si>
  <si>
    <t xml:space="preserve">RT-017</t>
  </si>
  <si>
    <t xml:space="preserve">Drift Detection</t>
  </si>
  <si>
    <t xml:space="preserve">drift_events</t>
  </si>
  <si>
    <t xml:space="preserve">TEST-028-A</t>
  </si>
  <si>
    <t xml:space="preserve">RC-020</t>
  </si>
  <si>
    <t xml:space="preserve">RT-018</t>
  </si>
  <si>
    <t xml:space="preserve">Customer Success / QBR</t>
  </si>
  <si>
    <t xml:space="preserve">(commercial)</t>
  </si>
  <si>
    <t xml:space="preserve">SCR-007 exec</t>
  </si>
  <si>
    <t xml:space="preserve">qbr_packs</t>
  </si>
  <si>
    <t xml:space="preserve">EVID-007 ext</t>
  </si>
  <si>
    <t xml:space="preserve">RC-025</t>
  </si>
  <si>
    <t xml:space="preserve">RT-019</t>
  </si>
  <si>
    <t xml:space="preserve">Data Residency Config</t>
  </si>
  <si>
    <t xml:space="preserve">(compliance)</t>
  </si>
  <si>
    <t xml:space="preserve">tenant_region</t>
  </si>
  <si>
    <t xml:space="preserve">TEST-013-B</t>
  </si>
  <si>
    <t xml:space="preserve">RC-026</t>
  </si>
  <si>
    <t xml:space="preserve">IMP-021</t>
  </si>
  <si>
    <t xml:space="preserve">RT-020</t>
  </si>
  <si>
    <t xml:space="preserve">Replay/Regression Harness</t>
  </si>
  <si>
    <t xml:space="preserve">regression_runs</t>
  </si>
  <si>
    <t xml:space="preserve">TEST-028-B</t>
  </si>
  <si>
    <t xml:space="preserve">RC-027</t>
  </si>
  <si>
    <t xml:space="preserve">IMP-014, IMP-025</t>
  </si>
  <si>
    <t xml:space="preserve">Title</t>
  </si>
  <si>
    <t xml:space="preserve">Rep US</t>
  </si>
  <si>
    <t xml:space="preserve">Acceptance anchor</t>
  </si>
  <si>
    <t xml:space="preserve">Edge case</t>
  </si>
  <si>
    <t xml:space="preserve">Negative path</t>
  </si>
  <si>
    <t xml:space="preserve">Exit gate</t>
  </si>
  <si>
    <t xml:space="preserve">US-001</t>
  </si>
  <si>
    <t xml:space="preserve">Webhook 5s p95</t>
  </si>
  <si>
    <t xml:space="preserve">Matrix run, multi-job</t>
  </si>
  <si>
    <t xml:space="preserve">Unsigned webhook → 401</t>
  </si>
  <si>
    <t xml:space="preserve">Repository Linking</t>
  </si>
  <si>
    <t xml:space="preserve">US-008</t>
  </si>
  <si>
    <t xml:space="preserve">OAuth issues install token</t>
  </si>
  <si>
    <t xml:space="preserve">Archived repo, SSO required</t>
  </si>
  <si>
    <t xml:space="preserve">Invalid PAT → 403 + rotate</t>
  </si>
  <si>
    <t xml:space="preserve">BR-003</t>
  </si>
  <si>
    <t xml:space="preserve">Root Cause Analysis</t>
  </si>
  <si>
    <t xml:space="preserve">US-005, US-006</t>
  </si>
  <si>
    <t xml:space="preserve">Inference p95 ≤ 8s</t>
  </si>
  <si>
    <t xml:space="preserve">Mixed-cause, non-English</t>
  </si>
  <si>
    <t xml:space="preserve">Model timeout → rules fallback</t>
  </si>
  <si>
    <t xml:space="preserve">EVAL-001 ≥ 85% MVP</t>
  </si>
  <si>
    <t xml:space="preserve">BR-004</t>
  </si>
  <si>
    <t xml:space="preserve">Repair Plan Generation</t>
  </si>
  <si>
    <t xml:space="preserve">US-005</t>
  </si>
  <si>
    <t xml:space="preserve">JSON schema valid</t>
  </si>
  <si>
    <t xml:space="preserve">Protected branch</t>
  </si>
  <si>
    <t xml:space="preserve">Generation fails → manual form</t>
  </si>
  <si>
    <t xml:space="preserve">EVAL-002 ≥ 80% MVP</t>
  </si>
  <si>
    <t xml:space="preserve">US-003, US-007</t>
  </si>
  <si>
    <t xml:space="preserve">Signature + justification ≥ 20ch</t>
  </si>
  <si>
    <t xml:space="preserve">OOO delegation</t>
  </si>
  <si>
    <t xml:space="preserve">Rejected → optional re-plan max 3</t>
  </si>
  <si>
    <t xml:space="preserve">100% executed plans signed</t>
  </si>
  <si>
    <t xml:space="preserve">BR-006</t>
  </si>
  <si>
    <t xml:space="preserve">US-004, US-010</t>
  </si>
  <si>
    <t xml:space="preserve">ZIP HMAC-signed; receipt 10y</t>
  </si>
  <si>
    <t xml:space="preserve">&gt;100MB split-archive</t>
  </si>
  <si>
    <t xml:space="preserve">Signing key down → block, page</t>
  </si>
  <si>
    <t xml:space="preserve">EVID verifiable offline</t>
  </si>
  <si>
    <t xml:space="preserve">Analytics Dashboard</t>
  </si>
  <si>
    <t xml:space="preserve">US-002</t>
  </si>
  <si>
    <t xml:space="preserve">Dashboard p95 ≤ 2s</t>
  </si>
  <si>
    <t xml:space="preserve">Sparse tenant</t>
  </si>
  <si>
    <t xml:space="preserve">Deterministic Masking</t>
  </si>
  <si>
    <t xml:space="preserve">n/a</t>
  </si>
  <si>
    <t xml:space="preserve">0 leak N=500</t>
  </si>
  <si>
    <t xml:space="preserve">Provider-specific tokens</t>
  </si>
  <si>
    <t xml:space="preserve">Mask fail → block, no fallback</t>
  </si>
  <si>
    <t xml:space="preserve">US-009</t>
  </si>
  <si>
    <t xml:space="preserve">Promotion blocked on red EVAL</t>
  </si>
  <si>
    <t xml:space="preserve">Rollback ≤ 30s</t>
  </si>
  <si>
    <t xml:space="preserve">Red EVAL promotion → 409</t>
  </si>
  <si>
    <t xml:space="preserve">PromptOps L3</t>
  </si>
  <si>
    <t xml:space="preserve">(Platform)</t>
  </si>
  <si>
    <t xml:space="preserve">Flaky list ≤ 15min stale</t>
  </si>
  <si>
    <t xml:space="preserve">Parameterized tests</t>
  </si>
  <si>
    <t xml:space="preserve">FP &gt; 5% → tune</t>
  </si>
  <si>
    <t xml:space="preserve">±10% parity vs BuildPulse</t>
  </si>
  <si>
    <t xml:space="preserve">US-010</t>
  </si>
  <si>
    <t xml:space="preserve">Schema versioned, JSON Schema 2020-12</t>
  </si>
  <si>
    <t xml:space="preserve">Consumer breakage → deprecation</t>
  </si>
  <si>
    <t xml:space="preserve">Eval Gates</t>
  </si>
  <si>
    <t xml:space="preserve">(CI)</t>
  </si>
  <si>
    <t xml:space="preserve">EVAL gates enforced in CI</t>
  </si>
  <si>
    <t xml:space="preserve">Drift PSI &gt; 0.2 → alert</t>
  </si>
  <si>
    <t xml:space="preserve">Eval-set corruption → block all promotions</t>
  </si>
  <si>
    <t xml:space="preserve">TEST-ID</t>
  </si>
  <si>
    <t xml:space="preserve">Type</t>
  </si>
  <si>
    <t xml:space="preserve">Owner</t>
  </si>
  <si>
    <t xml:space="preserve">Automation</t>
  </si>
  <si>
    <t xml:space="preserve">Frequency</t>
  </si>
  <si>
    <t xml:space="preserve">Exit Gate</t>
  </si>
  <si>
    <t xml:space="preserve">TEST-001</t>
  </si>
  <si>
    <t xml:space="preserve">Integration</t>
  </si>
  <si>
    <t xml:space="preserve">Intake webhook happy path</t>
  </si>
  <si>
    <t xml:space="preserve">BE</t>
  </si>
  <si>
    <t xml:space="preserve">CI</t>
  </si>
  <si>
    <t xml:space="preserve">every PR</t>
  </si>
  <si>
    <t xml:space="preserve">5s p95</t>
  </si>
  <si>
    <t xml:space="preserve">Intake idempotency replay</t>
  </si>
  <si>
    <t xml:space="preserve">0 duplicates</t>
  </si>
  <si>
    <t xml:space="preserve">TEST-002</t>
  </si>
  <si>
    <t xml:space="preserve">Intake schema validation</t>
  </si>
  <si>
    <t xml:space="preserve">422 on invalid</t>
  </si>
  <si>
    <t xml:space="preserve">TEST-003</t>
  </si>
  <si>
    <t xml:space="preserve">Negative</t>
  </si>
  <si>
    <t xml:space="preserve">Unsigned webhook</t>
  </si>
  <si>
    <t xml:space="preserve">Sec</t>
  </si>
  <si>
    <t xml:space="preserve">401</t>
  </si>
  <si>
    <t xml:space="preserve">TEST-004</t>
  </si>
  <si>
    <t xml:space="preserve">Oversized payload</t>
  </si>
  <si>
    <t xml:space="preserve">413</t>
  </si>
  <si>
    <t xml:space="preserve">TEST-005</t>
  </si>
  <si>
    <t xml:space="preserve">OAuth happy path</t>
  </si>
  <si>
    <t xml:space="preserve">Manual MVP, CI P4</t>
  </si>
  <si>
    <t xml:space="preserve">weekly</t>
  </si>
  <si>
    <t xml:space="preserve">install token issued</t>
  </si>
  <si>
    <t xml:space="preserve">TEST-006</t>
  </si>
  <si>
    <t xml:space="preserve">Revoked PAT</t>
  </si>
  <si>
    <t xml:space="preserve">403 + rotate hint</t>
  </si>
  <si>
    <t xml:space="preserve">TEST-007</t>
  </si>
  <si>
    <t xml:space="preserve">Repo verify</t>
  </si>
  <si>
    <t xml:space="preserve">SHA ≤ 10s</t>
  </si>
  <si>
    <t xml:space="preserve">TEST-008</t>
  </si>
  <si>
    <t xml:space="preserve">AI eval</t>
  </si>
  <si>
    <t xml:space="preserve">EVAL-001 gold-set run</t>
  </si>
  <si>
    <t xml:space="preserve">AI</t>
  </si>
  <si>
    <t xml:space="preserve">every prompt PR</t>
  </si>
  <si>
    <t xml:space="preserve">≥85% MVP</t>
  </si>
  <si>
    <t xml:space="preserve">TEST-009</t>
  </si>
  <si>
    <t xml:space="preserve">RCA model timeout</t>
  </si>
  <si>
    <t xml:space="preserve">fallback fires</t>
  </si>
  <si>
    <t xml:space="preserve">TEST-010</t>
  </si>
  <si>
    <t xml:space="preserve">RCA writes prompt_run</t>
  </si>
  <si>
    <t xml:space="preserve">row with pins</t>
  </si>
  <si>
    <t xml:space="preserve">TEST-011</t>
  </si>
  <si>
    <t xml:space="preserve">EVAL-002 gold-set run</t>
  </si>
  <si>
    <t xml:space="preserve">≥80% MVP</t>
  </si>
  <si>
    <t xml:space="preserve">TEST-012</t>
  </si>
  <si>
    <t xml:space="preserve">Schema</t>
  </si>
  <si>
    <t xml:space="preserve">Plan JSON schema</t>
  </si>
  <si>
    <t xml:space="preserve">100% validity</t>
  </si>
  <si>
    <t xml:space="preserve">TEST-013</t>
  </si>
  <si>
    <t xml:space="preserve">Plan touches protected branch</t>
  </si>
  <si>
    <t xml:space="preserve">dual-approver flagged</t>
  </si>
  <si>
    <t xml:space="preserve">Security</t>
  </si>
  <si>
    <t xml:space="preserve">Multi-tenant RLS pen-test</t>
  </si>
  <si>
    <t xml:space="preserve">Manual quarterly</t>
  </si>
  <si>
    <t xml:space="preserve">quarterly</t>
  </si>
  <si>
    <t xml:space="preserve">0 crossover</t>
  </si>
  <si>
    <t xml:space="preserve">Compliance</t>
  </si>
  <si>
    <t xml:space="preserve">EU residency config</t>
  </si>
  <si>
    <t xml:space="preserve">SRE</t>
  </si>
  <si>
    <t xml:space="preserve">data resident eu-west</t>
  </si>
  <si>
    <t xml:space="preserve">TEST-014</t>
  </si>
  <si>
    <t xml:space="preserve">Approval sign happy path</t>
  </si>
  <si>
    <t xml:space="preserve">append-only</t>
  </si>
  <si>
    <t xml:space="preserve">RBAC</t>
  </si>
  <si>
    <t xml:space="preserve">Permission matrix sweep</t>
  </si>
  <si>
    <t xml:space="preserve">all rows pass</t>
  </si>
  <si>
    <t xml:space="preserve">TEST-015</t>
  </si>
  <si>
    <t xml:space="preserve">Approval token expired</t>
  </si>
  <si>
    <t xml:space="preserve">410</t>
  </si>
  <si>
    <t xml:space="preserve">TEST-016</t>
  </si>
  <si>
    <t xml:space="preserve">Dual-approval prod path</t>
  </si>
  <si>
    <t xml:space="preserve">both signatures</t>
  </si>
  <si>
    <t xml:space="preserve">TEST-017</t>
  </si>
  <si>
    <t xml:space="preserve">UX</t>
  </si>
  <si>
    <t xml:space="preserve">Slack DM deep-link</t>
  </si>
  <si>
    <t xml:space="preserve">FE</t>
  </si>
  <si>
    <t xml:space="preserve">Manual</t>
  </si>
  <si>
    <t xml:space="preserve">opens SCR-005</t>
  </si>
  <si>
    <t xml:space="preserve">TEST-018</t>
  </si>
  <si>
    <t xml:space="preserve">Evidence ZIP generate</t>
  </si>
  <si>
    <t xml:space="preserve">manifest valid</t>
  </si>
  <si>
    <t xml:space="preserve">TEST-019</t>
  </si>
  <si>
    <t xml:space="preserve">Evidence HMAC verify</t>
  </si>
  <si>
    <t xml:space="preserve">offline-valid</t>
  </si>
  <si>
    <t xml:space="preserve">TEST-020</t>
  </si>
  <si>
    <t xml:space="preserve">10-year retention</t>
  </si>
  <si>
    <t xml:space="preserve">object-lock</t>
  </si>
  <si>
    <t xml:space="preserve">TEST-021</t>
  </si>
  <si>
    <t xml:space="preserve">Performance</t>
  </si>
  <si>
    <t xml:space="preserve">Dashboard p95 load</t>
  </si>
  <si>
    <t xml:space="preserve">≤2s</t>
  </si>
  <si>
    <t xml:space="preserve">FinOps</t>
  </si>
  <si>
    <t xml:space="preserve">Cost ceiling throttle</t>
  </si>
  <si>
    <t xml:space="preserve">throttle at 100%</t>
  </si>
  <si>
    <t xml:space="preserve">TEST-022</t>
  </si>
  <si>
    <t xml:space="preserve">CSV export schema</t>
  </si>
  <si>
    <t xml:space="preserve">columns stable</t>
  </si>
  <si>
    <t xml:space="preserve">TEST-023</t>
  </si>
  <si>
    <t xml:space="preserve">Mask v1 red-team</t>
  </si>
  <si>
    <t xml:space="preserve">0 leaks N=500</t>
  </si>
  <si>
    <t xml:space="preserve">TEST-024</t>
  </si>
  <si>
    <t xml:space="preserve">Mask engine failure</t>
  </si>
  <si>
    <t xml:space="preserve">block, no fallback</t>
  </si>
  <si>
    <t xml:space="preserve">Governance</t>
  </si>
  <si>
    <t xml:space="preserve">Prompt promotion blocked when EVAL red</t>
  </si>
  <si>
    <t xml:space="preserve">409</t>
  </si>
  <si>
    <t xml:space="preserve">Parity</t>
  </si>
  <si>
    <t xml:space="preserve">Flaky vs BuildPulse</t>
  </si>
  <si>
    <t xml:space="preserve">±10% overlap</t>
  </si>
  <si>
    <t xml:space="preserve">audit_export schema</t>
  </si>
  <si>
    <t xml:space="preserve">JSON Schema 2020-12 valid</t>
  </si>
  <si>
    <t xml:space="preserve">Eval gate enforcement</t>
  </si>
  <si>
    <t xml:space="preserve">gate fires</t>
  </si>
  <si>
    <t xml:space="preserve">Drift</t>
  </si>
  <si>
    <t xml:space="preserve">PSI &gt; 0.2 alert</t>
  </si>
  <si>
    <t xml:space="preserve">alert generated</t>
  </si>
  <si>
    <t xml:space="preserve">Regression</t>
  </si>
  <si>
    <t xml:space="preserve">Replay harness</t>
  </si>
  <si>
    <t xml:space="preserve">parity ≥ 95%</t>
  </si>
  <si>
    <t xml:space="preserve">Attribute</t>
  </si>
  <si>
    <t xml:space="preserve">EVAL-001 (RCA)</t>
  </si>
  <si>
    <t xml:space="preserve">EVAL-002 (Repair Plan)</t>
  </si>
  <si>
    <t xml:space="preserve">Task</t>
  </si>
  <si>
    <t xml:space="preserve">12-class classification of CI failure</t>
  </si>
  <si>
    <t xml:space="preserve">Structured repair plan; useful = approver accepts with ≤1 minor edit</t>
  </si>
  <si>
    <t xml:space="preserve">Primary metric</t>
  </si>
  <si>
    <t xml:space="preserve">Slice-weighted macro-F1</t>
  </si>
  <si>
    <t xml:space="preserve">Usefulness rate</t>
  </si>
  <si>
    <t xml:space="preserve">Secondary</t>
  </si>
  <si>
    <t xml:space="preserve">Top-3 accuracy, confidence calibration (ECE), p95 latency, refusal rate</t>
  </si>
  <si>
    <t xml:space="preserve">Schema validity 100%, hallucinated-file rate 0 (hard gates)</t>
  </si>
  <si>
    <t xml:space="preserve">Gold-set size</t>
  </si>
  <si>
    <t xml:space="preserve">N=250 stratified</t>
  </si>
  <si>
    <t xml:space="preserve">N=250 incidents with approved-plan ground truth</t>
  </si>
  <si>
    <t xml:space="preserve">Label provenance</t>
  </si>
  <si>
    <t xml:space="preserve">2-of-2 IAA + 3rd-annotator tiebreak</t>
  </si>
  <si>
    <t xml:space="preserve">Approved-plan ground truth or expert-authored</t>
  </si>
  <si>
    <t xml:space="preserve">Slice definitions</t>
  </si>
  <si>
    <t xml:space="preserve">Class, provider, language, log-length quartile, repo-age quartile</t>
  </si>
  <si>
    <t xml:space="preserve">Root-cause class, plan-action-type, blast-radius, language</t>
  </si>
  <si>
    <t xml:space="preserve">MVP threshold</t>
  </si>
  <si>
    <t xml:space="preserve">85%</t>
  </si>
  <si>
    <t xml:space="preserve">80%</t>
  </si>
  <si>
    <t xml:space="preserve">Pilot threshold</t>
  </si>
  <si>
    <t xml:space="preserve">90%</t>
  </si>
  <si>
    <t xml:space="preserve">Promotion target</t>
  </si>
  <si>
    <t xml:space="preserve">92%</t>
  </si>
  <si>
    <t xml:space="preserve">88%</t>
  </si>
  <si>
    <t xml:space="preserve">Fairness floor</t>
  </si>
  <si>
    <t xml:space="preserve">No provider/language slice &lt; 80%</t>
  </si>
  <si>
    <t xml:space="preserve">Usefulness parity across action-type slices within 8pp</t>
  </si>
  <si>
    <t xml:space="preserve">Drift detection</t>
  </si>
  <si>
    <t xml:space="preserve">PSI &gt; 0.2 alert; chi-square on output</t>
  </si>
  <si>
    <t xml:space="preserve">Schema validity trend; rejection-reason clustering</t>
  </si>
  <si>
    <t xml:space="preserve">Retraining trigger</t>
  </si>
  <si>
    <t xml:space="preserve">&gt;3pp drop any slice 7-day OR PSI &gt; 0.2 sustained 48h</t>
  </si>
  <si>
    <t xml:space="preserve">Usefulness &lt; threshold for any slice 7-day OR any hallucinated-file event</t>
  </si>
  <si>
    <t xml:space="preserve">Refresh cadence</t>
  </si>
  <si>
    <t xml:space="preserve">Quarterly</t>
  </si>
  <si>
    <t xml:space="preserve">Label-quality audit</t>
  </si>
  <si>
    <t xml:space="preserve">Monthly 5% blind re-label, κ ≥ 0.75</t>
  </si>
  <si>
    <t xml:space="preserve">Monthly, κ ≥ 0.70 (subjective task tolerates lower)</t>
  </si>
  <si>
    <t xml:space="preserve">AI Lead</t>
  </si>
  <si>
    <t xml:space="preserve">Escalation</t>
  </si>
  <si>
    <t xml:space="preserve">AI Lead → VPE → CTO</t>
  </si>
  <si>
    <t xml:space="preserve">Comment</t>
  </si>
  <si>
    <t xml:space="preserve">Severity</t>
  </si>
  <si>
    <t xml:space="preserve">Linked RT/BR</t>
  </si>
  <si>
    <t xml:space="preserve">Target Date</t>
  </si>
  <si>
    <t xml:space="preserve">Status</t>
  </si>
  <si>
    <t xml:space="preserve">RC-001</t>
  </si>
  <si>
    <t xml:space="preserve">Intake XML schema validation before persist</t>
  </si>
  <si>
    <t xml:space="preserve">Medium</t>
  </si>
  <si>
    <t xml:space="preserve">RT-001 / BR-001</t>
  </si>
  <si>
    <t xml:space="preserve">Phase 1 end</t>
  </si>
  <si>
    <t xml:space="preserve">Closed</t>
  </si>
  <si>
    <t xml:space="preserve">RC-002</t>
  </si>
  <si>
    <t xml:space="preserve">OAuth scope read-only minimal</t>
  </si>
  <si>
    <t xml:space="preserve">High</t>
  </si>
  <si>
    <t xml:space="preserve">RT-002 / BR-002</t>
  </si>
  <si>
    <t xml:space="preserve">RC-003</t>
  </si>
  <si>
    <t xml:space="preserve">RCA card must show why not just what</t>
  </si>
  <si>
    <t xml:space="preserve">RT-003 / BR-003</t>
  </si>
  <si>
    <t xml:space="preserve">Phase 2 end</t>
  </si>
  <si>
    <t xml:space="preserve">Repair plan explicit blast-radius field</t>
  </si>
  <si>
    <t xml:space="preserve">RT-004 / BR-004</t>
  </si>
  <si>
    <t xml:space="preserve">RC-005</t>
  </si>
  <si>
    <t xml:space="preserve">Approval justification min 20 chars</t>
  </si>
  <si>
    <t xml:space="preserve">RT-005 / BR-005</t>
  </si>
  <si>
    <t xml:space="preserve">Phase 2 mid</t>
  </si>
  <si>
    <t xml:space="preserve">RC-006</t>
  </si>
  <si>
    <t xml:space="preserve">Multi-tenant pen-test</t>
  </si>
  <si>
    <t xml:space="preserve">Critical</t>
  </si>
  <si>
    <t xml:space="preserve">Phase 4 mid</t>
  </si>
  <si>
    <t xml:space="preserve">Open</t>
  </si>
  <si>
    <t xml:space="preserve">Analytics drill-through to incident</t>
  </si>
  <si>
    <t xml:space="preserve">RT-007 / BR-007</t>
  </si>
  <si>
    <t xml:space="preserve">Phase 3 end</t>
  </si>
  <si>
    <t xml:space="preserve">RC-008</t>
  </si>
  <si>
    <t xml:space="preserve">Mask false-positive rate measured</t>
  </si>
  <si>
    <t xml:space="preserve">RT-008 / BR-008</t>
  </si>
  <si>
    <t xml:space="preserve">RC-009</t>
  </si>
  <si>
    <t xml:space="preserve">RCA confidence calibration (ECE) reported</t>
  </si>
  <si>
    <t xml:space="preserve">RC-010</t>
  </si>
  <si>
    <t xml:space="preserve">Approval delegation when OOO</t>
  </si>
  <si>
    <t xml:space="preserve">RC-011</t>
  </si>
  <si>
    <t xml:space="preserve">Evidence pack split-archive for &gt;100MB</t>
  </si>
  <si>
    <t xml:space="preserve">RT-006 / BR-006</t>
  </si>
  <si>
    <t xml:space="preserve">RC-012</t>
  </si>
  <si>
    <t xml:space="preserve">Prompt diff visible before promotion</t>
  </si>
  <si>
    <t xml:space="preserve">RT-009 / BR-009</t>
  </si>
  <si>
    <t xml:space="preserve">Flaky parity vs BuildPulse</t>
  </si>
  <si>
    <t xml:space="preserve">RT-010 / BR-010</t>
  </si>
  <si>
    <t xml:space="preserve">RC-014</t>
  </si>
  <si>
    <t xml:space="preserve">Secret-pattern provider extension</t>
  </si>
  <si>
    <t xml:space="preserve">RT-001, RT-008</t>
  </si>
  <si>
    <t xml:space="preserve">Audit-export schema deprecation policy</t>
  </si>
  <si>
    <t xml:space="preserve">RT-011 / BR-011</t>
  </si>
  <si>
    <t xml:space="preserve">Eval gate must be CI-blocking</t>
  </si>
  <si>
    <t xml:space="preserve">RT-012 / BR-012</t>
  </si>
  <si>
    <t xml:space="preserve">RC-017</t>
  </si>
  <si>
    <t xml:space="preserve">Demo deterministic seed</t>
  </si>
  <si>
    <t xml:space="preserve">RC-018</t>
  </si>
  <si>
    <t xml:space="preserve">Cross-persona reading order</t>
  </si>
  <si>
    <t xml:space="preserve">Low</t>
  </si>
  <si>
    <t xml:space="preserve">(doc-level)</t>
  </si>
  <si>
    <t xml:space="preserve">Phase 3 mid</t>
  </si>
  <si>
    <t xml:space="preserve">RC-019</t>
  </si>
  <si>
    <t xml:space="preserve">Mask policy version pinned in every prompt_run</t>
  </si>
  <si>
    <t xml:space="preserve">Drift detector emits alert at PSI &gt; 0.2</t>
  </si>
  <si>
    <t xml:space="preserve">RT-003, RT-017</t>
  </si>
  <si>
    <t xml:space="preserve">RC-021</t>
  </si>
  <si>
    <t xml:space="preserve">RLS on tenant_id enforced at query layer</t>
  </si>
  <si>
    <t xml:space="preserve">RBAC matrix documented and tested</t>
  </si>
  <si>
    <t xml:space="preserve">Idempotency-Key REQUIRED on writes</t>
  </si>
  <si>
    <t xml:space="preserve">Cost ceiling soft (80%) + hard (100%) alerts</t>
  </si>
  <si>
    <t xml:space="preserve">QBR template for CSM with KPI rollups</t>
  </si>
  <si>
    <t xml:space="preserve">Data-residency admin flag per tenant</t>
  </si>
  <si>
    <t xml:space="preserve">Replay/regression harness</t>
  </si>
  <si>
    <t xml:space="preserve">RC-028</t>
  </si>
  <si>
    <t xml:space="preserve">Model fallback registry with auto-failover</t>
  </si>
  <si>
    <t xml:space="preserve">RT-004, RT-009</t>
  </si>
  <si>
    <t xml:space="preserve">RC-029</t>
  </si>
  <si>
    <t xml:space="preserve">Chaos test pack</t>
  </si>
  <si>
    <t xml:space="preserve">RC-030</t>
  </si>
  <si>
    <t xml:space="preserve">Security-approver role for secret-rotation plans</t>
  </si>
  <si>
    <t xml:space="preserve">SUMMARY</t>
  </si>
  <si>
    <t xml:space="preserve">Total</t>
  </si>
  <si>
    <t xml:space="preserve">Phase</t>
  </si>
  <si>
    <t xml:space="preserve">Effort (hrs)</t>
  </si>
  <si>
    <t xml:space="preserve">RT links</t>
  </si>
  <si>
    <t xml:space="preserve">IMP-001</t>
  </si>
  <si>
    <t xml:space="preserve">Mask v1 patterns</t>
  </si>
  <si>
    <t xml:space="preserve">1</t>
  </si>
  <si>
    <t xml:space="preserve">Critical-path</t>
  </si>
  <si>
    <t xml:space="preserve">IMP-002</t>
  </si>
  <si>
    <t xml:space="preserve">OAuth app submission</t>
  </si>
  <si>
    <t xml:space="preserve">Phase 1</t>
  </si>
  <si>
    <t xml:space="preserve">IMP-003</t>
  </si>
  <si>
    <t xml:space="preserve">Idempotency-Key middleware</t>
  </si>
  <si>
    <t xml:space="preserve">IMP-004</t>
  </si>
  <si>
    <t xml:space="preserve">Approval signature scheme</t>
  </si>
  <si>
    <t xml:space="preserve">2</t>
  </si>
  <si>
    <t xml:space="preserve">IMP-005</t>
  </si>
  <si>
    <t xml:space="preserve">Evidence ZIP signer</t>
  </si>
  <si>
    <t xml:space="preserve">IMP-006</t>
  </si>
  <si>
    <t xml:space="preserve">Prompt registry mirror</t>
  </si>
  <si>
    <t xml:space="preserve">Phase 2</t>
  </si>
  <si>
    <t xml:space="preserve">IMP-007</t>
  </si>
  <si>
    <t xml:space="preserve">EVAL gate CI integration</t>
  </si>
  <si>
    <t xml:space="preserve">IMP-008</t>
  </si>
  <si>
    <t xml:space="preserve">Analytics rollup batch</t>
  </si>
  <si>
    <t xml:space="preserve">3</t>
  </si>
  <si>
    <t xml:space="preserve">Phase 3</t>
  </si>
  <si>
    <t xml:space="preserve">Drift detector PSI</t>
  </si>
  <si>
    <t xml:space="preserve">IMP-010</t>
  </si>
  <si>
    <t xml:space="preserve">RBAC matrix</t>
  </si>
  <si>
    <t xml:space="preserve">IMP-011</t>
  </si>
  <si>
    <t xml:space="preserve">Slack/email integration</t>
  </si>
  <si>
    <t xml:space="preserve">IMP-012</t>
  </si>
  <si>
    <t xml:space="preserve">CSV export</t>
  </si>
  <si>
    <t xml:space="preserve">IMP-013</t>
  </si>
  <si>
    <t xml:space="preserve">Approver feedback loop</t>
  </si>
  <si>
    <t xml:space="preserve">RT-005, RT-003</t>
  </si>
  <si>
    <t xml:space="preserve">IMP-014</t>
  </si>
  <si>
    <t xml:space="preserve">4</t>
  </si>
  <si>
    <t xml:space="preserve">RT-010, RT-013</t>
  </si>
  <si>
    <t xml:space="preserve">Phase 4</t>
  </si>
  <si>
    <t xml:space="preserve">Secret-scanning provider extension</t>
  </si>
  <si>
    <t xml:space="preserve">FinOps cost ceiling</t>
  </si>
  <si>
    <t xml:space="preserve">IMP-018</t>
  </si>
  <si>
    <t xml:space="preserve">Demo dry-run + det seed</t>
  </si>
  <si>
    <t xml:space="preserve">On-call rotation pack</t>
  </si>
  <si>
    <t xml:space="preserve">Risk owner staffing + RLS hardening</t>
  </si>
  <si>
    <t xml:space="preserve">EU data residency</t>
  </si>
  <si>
    <t xml:space="preserve">Gold-set governance + label audit</t>
  </si>
  <si>
    <t xml:space="preserve">2-cont</t>
  </si>
  <si>
    <t xml:space="preserve">Recurring monthly</t>
  </si>
  <si>
    <t xml:space="preserve">Model fallback registry</t>
  </si>
  <si>
    <t xml:space="preserve">RT-003, RT-004</t>
  </si>
  <si>
    <t xml:space="preserve">CS playbook + QBR template</t>
  </si>
  <si>
    <t xml:space="preserve">TOTAL HOURS</t>
  </si>
  <si>
    <t xml:space="preserve">R-ID</t>
  </si>
  <si>
    <t xml:space="preserve">Risk</t>
  </si>
  <si>
    <t xml:space="preserve">L</t>
  </si>
  <si>
    <t xml:space="preserve">I</t>
  </si>
  <si>
    <t xml:space="preserve">Score</t>
  </si>
  <si>
    <t xml:space="preserve">Mitigation</t>
  </si>
  <si>
    <t xml:space="preserve">Residual</t>
  </si>
  <si>
    <t xml:space="preserve">R-01</t>
  </si>
  <si>
    <t xml:space="preserve">EVAL-001 fails to reach 90% on pilot data</t>
  </si>
  <si>
    <t xml:space="preserve">2-3</t>
  </si>
  <si>
    <t xml:space="preserve">IMP-022, rules fallback, slice analysis</t>
  </si>
  <si>
    <t xml:space="preserve">10</t>
  </si>
  <si>
    <t xml:space="preserve">R-02</t>
  </si>
  <si>
    <t xml:space="preserve">Secret leaks through Mask v1 gap</t>
  </si>
  <si>
    <t xml:space="preserve">Sec Lead</t>
  </si>
  <si>
    <t xml:space="preserve">Red-team N=500; deny-on-fail; IMP-016</t>
  </si>
  <si>
    <t xml:space="preserve">5</t>
  </si>
  <si>
    <t xml:space="preserve">R-03</t>
  </si>
  <si>
    <t xml:space="preserve">LLM provider outage (&gt;4h)</t>
  </si>
  <si>
    <t xml:space="preserve">Model fallback registry IMP-023; rules fallback</t>
  </si>
  <si>
    <t xml:space="preserve">8</t>
  </si>
  <si>
    <t xml:space="preserve">R-04</t>
  </si>
  <si>
    <t xml:space="preserve">GitHub OAuth app review delays</t>
  </si>
  <si>
    <t xml:space="preserve">Platform</t>
  </si>
  <si>
    <t xml:space="preserve">PAT fallback in MVP</t>
  </si>
  <si>
    <t xml:space="preserve">R-05</t>
  </si>
  <si>
    <t xml:space="preserve">Live demo failure on judges</t>
  </si>
  <si>
    <t xml:space="preserve">PM</t>
  </si>
  <si>
    <t xml:space="preserve">Pre-recorded fallback IMP-018; deterministic seed</t>
  </si>
  <si>
    <t xml:space="preserve">R-06</t>
  </si>
  <si>
    <t xml:space="preserve">Gold-set label noise</t>
  </si>
  <si>
    <t xml:space="preserve">IMP-022 monthly label audit</t>
  </si>
  <si>
    <t xml:space="preserve">6</t>
  </si>
  <si>
    <t xml:space="preserve">R-07</t>
  </si>
  <si>
    <t xml:space="preserve">Approver burnout / fatigue</t>
  </si>
  <si>
    <t xml:space="preserve">Platform Lead</t>
  </si>
  <si>
    <t xml:space="preserve">Confidence auto-suppress; digest mode; IMP-019</t>
  </si>
  <si>
    <t xml:space="preserve">R-08</t>
  </si>
  <si>
    <t xml:space="preserve">Multi-tenant data crossover bug</t>
  </si>
  <si>
    <t xml:space="preserve">RLS; per-tenant DEK; quarterly pen-test</t>
  </si>
  <si>
    <t xml:space="preserve">R-09</t>
  </si>
  <si>
    <t xml:space="preserve">LLM cost ceiling exceeded</t>
  </si>
  <si>
    <t xml:space="preserve">FinOps cost ceiling IMP-017</t>
  </si>
  <si>
    <t xml:space="preserve">R-10</t>
  </si>
  <si>
    <t xml:space="preserve">EU residency demanded pre-Phase-4</t>
  </si>
  <si>
    <t xml:space="preserve">Sales</t>
  </si>
  <si>
    <t xml:space="preserve">3-4</t>
  </si>
  <si>
    <t xml:space="preserve">Roadmap pre-sell; IMP-021 acceleration</t>
  </si>
  <si>
    <t xml:space="preserve">R-11</t>
  </si>
  <si>
    <t xml:space="preserve">Prompt drift undetected</t>
  </si>
  <si>
    <t xml:space="preserve">Drift detector IMP-009; canary + auto-rollback</t>
  </si>
  <si>
    <t xml:space="preserve">R-12</t>
  </si>
  <si>
    <t xml:space="preserve">Audit-pack schema breaks GRC tools</t>
  </si>
  <si>
    <t xml:space="preserve">GRC</t>
  </si>
  <si>
    <t xml:space="preserve">Versioned schema; deprecation policy IMP-025</t>
  </si>
  <si>
    <t xml:space="preserve">AGGREGATE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</si>
</sst>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22"/>
    <col collapsed="false" customWidth="true" hidden="false" outlineLevel="0" max="11" min="11" style="0" width="18"/>
    <col collapsed="false" customWidth="true" hidden="false" outlineLevel="0" max="12" min="12" style="0" width="16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30" hidden="false" customHeight="tru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customFormat="false" ht="30" hidden="false" customHeight="true" outlineLevel="0" collapsed="false">
      <c r="A3" s="2" t="s">
        <v>24</v>
      </c>
      <c r="B3" s="2" t="s">
        <v>25</v>
      </c>
      <c r="C3" s="2" t="s">
        <v>14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23</v>
      </c>
    </row>
    <row r="4" customFormat="false" ht="30" hidden="false" customHeight="true" outlineLevel="0" collapsed="false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44</v>
      </c>
      <c r="L4" s="2" t="s">
        <v>45</v>
      </c>
    </row>
    <row r="5" customFormat="false" ht="30" hidden="false" customHeight="true" outlineLevel="0" collapsed="false">
      <c r="A5" s="2" t="s">
        <v>46</v>
      </c>
      <c r="B5" s="2" t="s">
        <v>47</v>
      </c>
      <c r="C5" s="2" t="s">
        <v>48</v>
      </c>
      <c r="D5" s="2" t="s">
        <v>49</v>
      </c>
      <c r="E5" s="2" t="s">
        <v>50</v>
      </c>
      <c r="F5" s="2" t="s">
        <v>51</v>
      </c>
      <c r="G5" s="2" t="s">
        <v>52</v>
      </c>
      <c r="H5" s="2" t="s">
        <v>53</v>
      </c>
      <c r="I5" s="2" t="s">
        <v>54</v>
      </c>
      <c r="J5" s="2" t="s">
        <v>55</v>
      </c>
      <c r="K5" s="2" t="s">
        <v>56</v>
      </c>
      <c r="L5" s="2" t="s">
        <v>57</v>
      </c>
    </row>
    <row r="6" customFormat="false" ht="30" hidden="false" customHeight="true" outlineLevel="0" collapsed="false">
      <c r="A6" s="2" t="s">
        <v>58</v>
      </c>
      <c r="B6" s="2" t="s">
        <v>59</v>
      </c>
      <c r="C6" s="2" t="s">
        <v>60</v>
      </c>
      <c r="D6" s="2" t="s">
        <v>61</v>
      </c>
      <c r="E6" s="2" t="s">
        <v>62</v>
      </c>
      <c r="F6" s="2" t="s">
        <v>63</v>
      </c>
      <c r="G6" s="2" t="s">
        <v>64</v>
      </c>
      <c r="H6" s="2" t="s">
        <v>65</v>
      </c>
      <c r="I6" s="2" t="s">
        <v>66</v>
      </c>
      <c r="J6" s="2" t="s">
        <v>67</v>
      </c>
      <c r="K6" s="2" t="s">
        <v>68</v>
      </c>
      <c r="L6" s="2" t="s">
        <v>23</v>
      </c>
    </row>
    <row r="7" customFormat="false" ht="30" hidden="false" customHeight="true" outlineLevel="0" collapsed="false">
      <c r="A7" s="2" t="s">
        <v>69</v>
      </c>
      <c r="B7" s="2" t="s">
        <v>70</v>
      </c>
      <c r="C7" s="2" t="s">
        <v>60</v>
      </c>
      <c r="D7" s="2" t="s">
        <v>71</v>
      </c>
      <c r="E7" s="2" t="s">
        <v>72</v>
      </c>
      <c r="F7" s="2" t="s">
        <v>73</v>
      </c>
      <c r="G7" s="2" t="s">
        <v>74</v>
      </c>
      <c r="H7" s="2" t="s">
        <v>75</v>
      </c>
      <c r="I7" s="2" t="s">
        <v>76</v>
      </c>
      <c r="J7" s="2" t="s">
        <v>77</v>
      </c>
      <c r="K7" s="2" t="s">
        <v>78</v>
      </c>
      <c r="L7" s="2" t="s">
        <v>23</v>
      </c>
    </row>
    <row r="8" customFormat="false" ht="30" hidden="false" customHeight="true" outlineLevel="0" collapsed="false">
      <c r="A8" s="2" t="s">
        <v>79</v>
      </c>
      <c r="B8" s="2" t="s">
        <v>80</v>
      </c>
      <c r="C8" s="2" t="s">
        <v>81</v>
      </c>
      <c r="D8" s="2" t="s">
        <v>82</v>
      </c>
      <c r="E8" s="2" t="s">
        <v>83</v>
      </c>
      <c r="F8" s="2" t="s">
        <v>84</v>
      </c>
      <c r="G8" s="2" t="s">
        <v>85</v>
      </c>
      <c r="H8" s="2" t="s">
        <v>86</v>
      </c>
      <c r="I8" s="2" t="s">
        <v>87</v>
      </c>
      <c r="J8" s="2" t="s">
        <v>88</v>
      </c>
      <c r="K8" s="2" t="s">
        <v>89</v>
      </c>
      <c r="L8" s="2" t="s">
        <v>23</v>
      </c>
    </row>
    <row r="9" customFormat="false" ht="30" hidden="false" customHeight="true" outlineLevel="0" collapsed="false">
      <c r="A9" s="2" t="s">
        <v>90</v>
      </c>
      <c r="B9" s="2" t="s">
        <v>91</v>
      </c>
      <c r="C9" s="2" t="s">
        <v>92</v>
      </c>
      <c r="D9" s="2" t="s">
        <v>93</v>
      </c>
      <c r="E9" s="2" t="s">
        <v>94</v>
      </c>
      <c r="F9" s="2" t="s">
        <v>94</v>
      </c>
      <c r="G9" s="2" t="s">
        <v>95</v>
      </c>
      <c r="H9" s="2" t="s">
        <v>96</v>
      </c>
      <c r="I9" s="2" t="s">
        <v>97</v>
      </c>
      <c r="J9" s="2" t="s">
        <v>98</v>
      </c>
      <c r="K9" s="2" t="s">
        <v>22</v>
      </c>
      <c r="L9" s="2" t="s">
        <v>23</v>
      </c>
    </row>
    <row r="10" customFormat="false" ht="30" hidden="false" customHeight="true" outlineLevel="0" collapsed="false">
      <c r="A10" s="2" t="s">
        <v>99</v>
      </c>
      <c r="B10" s="2" t="s">
        <v>100</v>
      </c>
      <c r="C10" s="2" t="s">
        <v>101</v>
      </c>
      <c r="D10" s="2" t="s">
        <v>102</v>
      </c>
      <c r="E10" s="2" t="s">
        <v>103</v>
      </c>
      <c r="F10" s="2" t="s">
        <v>104</v>
      </c>
      <c r="G10" s="2" t="s">
        <v>105</v>
      </c>
      <c r="H10" s="2" t="s">
        <v>106</v>
      </c>
      <c r="I10" s="2" t="s">
        <v>107</v>
      </c>
      <c r="J10" s="2" t="s">
        <v>108</v>
      </c>
      <c r="K10" s="2" t="s">
        <v>109</v>
      </c>
      <c r="L10" s="2" t="s">
        <v>110</v>
      </c>
    </row>
    <row r="11" customFormat="false" ht="30" hidden="false" customHeight="true" outlineLevel="0" collapsed="false">
      <c r="A11" s="2" t="s">
        <v>111</v>
      </c>
      <c r="B11" s="2" t="s">
        <v>112</v>
      </c>
      <c r="C11" s="2" t="s">
        <v>113</v>
      </c>
      <c r="D11" s="2" t="s">
        <v>114</v>
      </c>
      <c r="E11" s="2" t="s">
        <v>115</v>
      </c>
      <c r="F11" s="2" t="s">
        <v>116</v>
      </c>
      <c r="G11" s="2" t="s">
        <v>117</v>
      </c>
      <c r="H11" s="2" t="s">
        <v>118</v>
      </c>
      <c r="I11" s="2" t="s">
        <v>119</v>
      </c>
      <c r="J11" s="2" t="s">
        <v>120</v>
      </c>
      <c r="K11" s="2" t="s">
        <v>33</v>
      </c>
      <c r="L11" s="2" t="s">
        <v>23</v>
      </c>
    </row>
    <row r="12" customFormat="false" ht="30" hidden="false" customHeight="true" outlineLevel="0" collapsed="false">
      <c r="A12" s="2" t="s">
        <v>121</v>
      </c>
      <c r="B12" s="2" t="s">
        <v>122</v>
      </c>
      <c r="C12" s="2" t="s">
        <v>60</v>
      </c>
      <c r="D12" s="2" t="s">
        <v>123</v>
      </c>
      <c r="E12" s="2" t="s">
        <v>124</v>
      </c>
      <c r="F12" s="2" t="s">
        <v>73</v>
      </c>
      <c r="G12" s="2" t="s">
        <v>125</v>
      </c>
      <c r="H12" s="2" t="s">
        <v>126</v>
      </c>
      <c r="I12" s="2" t="s">
        <v>127</v>
      </c>
      <c r="J12" s="2" t="s">
        <v>128</v>
      </c>
      <c r="K12" s="2" t="s">
        <v>78</v>
      </c>
      <c r="L12" s="2" t="s">
        <v>23</v>
      </c>
    </row>
    <row r="13" customFormat="false" ht="30" hidden="false" customHeight="true" outlineLevel="0" collapsed="false">
      <c r="A13" s="2" t="s">
        <v>129</v>
      </c>
      <c r="B13" s="2" t="s">
        <v>130</v>
      </c>
      <c r="C13" s="2" t="s">
        <v>101</v>
      </c>
      <c r="D13" s="2" t="s">
        <v>131</v>
      </c>
      <c r="E13" s="2" t="s">
        <v>132</v>
      </c>
      <c r="F13" s="2" t="s">
        <v>133</v>
      </c>
      <c r="G13" s="2" t="s">
        <v>134</v>
      </c>
      <c r="H13" s="2" t="s">
        <v>135</v>
      </c>
      <c r="I13" s="2" t="s">
        <v>136</v>
      </c>
      <c r="J13" s="2" t="s">
        <v>137</v>
      </c>
      <c r="K13" s="2" t="s">
        <v>138</v>
      </c>
      <c r="L13" s="2" t="s">
        <v>110</v>
      </c>
    </row>
    <row r="14" customFormat="false" ht="30" hidden="false" customHeight="true" outlineLevel="0" collapsed="false">
      <c r="A14" s="2" t="s">
        <v>139</v>
      </c>
      <c r="B14" s="2" t="s">
        <v>140</v>
      </c>
      <c r="C14" s="2" t="s">
        <v>60</v>
      </c>
      <c r="D14" s="2" t="s">
        <v>141</v>
      </c>
      <c r="E14" s="2" t="s">
        <v>142</v>
      </c>
      <c r="F14" s="2" t="s">
        <v>142</v>
      </c>
      <c r="G14" s="2" t="s">
        <v>143</v>
      </c>
      <c r="H14" s="2" t="s">
        <v>144</v>
      </c>
      <c r="I14" s="2" t="s">
        <v>145</v>
      </c>
      <c r="J14" s="2" t="s">
        <v>146</v>
      </c>
      <c r="K14" s="2" t="s">
        <v>147</v>
      </c>
      <c r="L14" s="2" t="s">
        <v>23</v>
      </c>
    </row>
    <row r="15" customFormat="false" ht="30" hidden="false" customHeight="true" outlineLevel="0" collapsed="false">
      <c r="A15" s="2" t="s">
        <v>148</v>
      </c>
      <c r="B15" s="2" t="s">
        <v>149</v>
      </c>
      <c r="C15" s="2" t="s">
        <v>92</v>
      </c>
      <c r="D15" s="2" t="s">
        <v>141</v>
      </c>
      <c r="E15" s="2" t="s">
        <v>150</v>
      </c>
      <c r="F15" s="2" t="s">
        <v>151</v>
      </c>
      <c r="G15" s="2" t="s">
        <v>152</v>
      </c>
      <c r="H15" s="2" t="s">
        <v>153</v>
      </c>
      <c r="I15" s="2" t="s">
        <v>154</v>
      </c>
      <c r="J15" s="2" t="s">
        <v>155</v>
      </c>
      <c r="K15" s="2" t="s">
        <v>89</v>
      </c>
      <c r="L15" s="2" t="s">
        <v>23</v>
      </c>
    </row>
    <row r="16" customFormat="false" ht="30" hidden="false" customHeight="true" outlineLevel="0" collapsed="false">
      <c r="A16" s="2" t="s">
        <v>156</v>
      </c>
      <c r="B16" s="2" t="s">
        <v>157</v>
      </c>
      <c r="C16" s="2" t="s">
        <v>14</v>
      </c>
      <c r="D16" s="2" t="s">
        <v>15</v>
      </c>
      <c r="E16" s="2" t="s">
        <v>16</v>
      </c>
      <c r="F16" s="2" t="s">
        <v>158</v>
      </c>
      <c r="G16" s="2" t="s">
        <v>159</v>
      </c>
      <c r="H16" s="2" t="s">
        <v>160</v>
      </c>
      <c r="I16" s="2" t="s">
        <v>161</v>
      </c>
      <c r="J16" s="2" t="s">
        <v>162</v>
      </c>
      <c r="K16" s="2" t="s">
        <v>23</v>
      </c>
      <c r="L16" s="2" t="s">
        <v>23</v>
      </c>
    </row>
    <row r="17" customFormat="false" ht="30" hidden="false" customHeight="true" outlineLevel="0" collapsed="false">
      <c r="A17" s="2" t="s">
        <v>163</v>
      </c>
      <c r="B17" s="2" t="s">
        <v>164</v>
      </c>
      <c r="C17" s="2" t="s">
        <v>81</v>
      </c>
      <c r="D17" s="2" t="s">
        <v>141</v>
      </c>
      <c r="E17" s="2" t="s">
        <v>165</v>
      </c>
      <c r="F17" s="2" t="s">
        <v>84</v>
      </c>
      <c r="G17" s="2" t="s">
        <v>166</v>
      </c>
      <c r="H17" s="2" t="s">
        <v>167</v>
      </c>
      <c r="I17" s="2" t="s">
        <v>23</v>
      </c>
      <c r="J17" s="2" t="s">
        <v>168</v>
      </c>
      <c r="K17" s="2" t="s">
        <v>169</v>
      </c>
      <c r="L17" s="2" t="s">
        <v>23</v>
      </c>
    </row>
    <row r="18" customFormat="false" ht="30" hidden="false" customHeight="true" outlineLevel="0" collapsed="false">
      <c r="A18" s="2" t="s">
        <v>170</v>
      </c>
      <c r="B18" s="2" t="s">
        <v>171</v>
      </c>
      <c r="C18" s="2" t="s">
        <v>101</v>
      </c>
      <c r="D18" s="2" t="s">
        <v>131</v>
      </c>
      <c r="E18" s="2" t="s">
        <v>103</v>
      </c>
      <c r="F18" s="2" t="s">
        <v>133</v>
      </c>
      <c r="G18" s="2" t="s">
        <v>172</v>
      </c>
      <c r="H18" s="2" t="s">
        <v>173</v>
      </c>
      <c r="I18" s="2" t="s">
        <v>23</v>
      </c>
      <c r="J18" s="2" t="s">
        <v>174</v>
      </c>
      <c r="K18" s="2" t="s">
        <v>44</v>
      </c>
      <c r="L18" s="2" t="s">
        <v>110</v>
      </c>
    </row>
    <row r="19" customFormat="false" ht="30" hidden="false" customHeight="true" outlineLevel="0" collapsed="false">
      <c r="A19" s="2" t="s">
        <v>175</v>
      </c>
      <c r="B19" s="2" t="s">
        <v>176</v>
      </c>
      <c r="C19" s="2" t="s">
        <v>81</v>
      </c>
      <c r="D19" s="2" t="s">
        <v>177</v>
      </c>
      <c r="E19" s="2" t="s">
        <v>178</v>
      </c>
      <c r="F19" s="2" t="s">
        <v>84</v>
      </c>
      <c r="G19" s="2" t="s">
        <v>179</v>
      </c>
      <c r="H19" s="2" t="s">
        <v>23</v>
      </c>
      <c r="I19" s="2" t="s">
        <v>180</v>
      </c>
      <c r="J19" s="2" t="s">
        <v>181</v>
      </c>
      <c r="K19" s="2" t="s">
        <v>89</v>
      </c>
      <c r="L19" s="2" t="s">
        <v>23</v>
      </c>
    </row>
    <row r="20" customFormat="false" ht="30" hidden="false" customHeight="true" outlineLevel="0" collapsed="false">
      <c r="A20" s="2" t="s">
        <v>182</v>
      </c>
      <c r="B20" s="2" t="s">
        <v>183</v>
      </c>
      <c r="C20" s="2" t="s">
        <v>141</v>
      </c>
      <c r="D20" s="2" t="s">
        <v>184</v>
      </c>
      <c r="E20" s="2" t="s">
        <v>103</v>
      </c>
      <c r="F20" s="2" t="s">
        <v>104</v>
      </c>
      <c r="G20" s="2" t="s">
        <v>185</v>
      </c>
      <c r="H20" s="2" t="s">
        <v>186</v>
      </c>
      <c r="I20" s="2" t="s">
        <v>23</v>
      </c>
      <c r="J20" s="2" t="s">
        <v>187</v>
      </c>
      <c r="K20" s="2" t="s">
        <v>188</v>
      </c>
      <c r="L20" s="2" t="s">
        <v>23</v>
      </c>
    </row>
    <row r="21" customFormat="false" ht="30" hidden="false" customHeight="true" outlineLevel="0" collapsed="false">
      <c r="A21" s="2" t="s">
        <v>189</v>
      </c>
      <c r="B21" s="2" t="s">
        <v>190</v>
      </c>
      <c r="C21" s="2" t="s">
        <v>101</v>
      </c>
      <c r="D21" s="2" t="s">
        <v>131</v>
      </c>
      <c r="E21" s="2" t="s">
        <v>133</v>
      </c>
      <c r="F21" s="2" t="s">
        <v>133</v>
      </c>
      <c r="G21" s="2" t="s">
        <v>191</v>
      </c>
      <c r="H21" s="2" t="s">
        <v>192</v>
      </c>
      <c r="I21" s="2" t="s">
        <v>23</v>
      </c>
      <c r="J21" s="2" t="s">
        <v>193</v>
      </c>
      <c r="K21" s="2" t="s">
        <v>194</v>
      </c>
      <c r="L21" s="2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28"/>
    <col collapsed="false" customWidth="true" hidden="false" outlineLevel="0" max="7" min="7" style="0" width="22"/>
    <col collapsed="false" customWidth="true" hidden="false" outlineLevel="0" max="8" min="8" style="0" width="32"/>
    <col collapsed="false" customWidth="true" hidden="false" outlineLevel="0" max="9" min="9" style="0" width="22"/>
  </cols>
  <sheetData>
    <row r="1" customFormat="false" ht="24" hidden="false" customHeight="true" outlineLevel="0" collapsed="false">
      <c r="A1" s="1" t="s">
        <v>3</v>
      </c>
      <c r="B1" s="1" t="s">
        <v>195</v>
      </c>
      <c r="C1" s="1" t="s">
        <v>196</v>
      </c>
      <c r="D1" s="1" t="s">
        <v>4</v>
      </c>
      <c r="E1" s="1" t="s">
        <v>5</v>
      </c>
      <c r="F1" s="1" t="s">
        <v>197</v>
      </c>
      <c r="G1" s="1" t="s">
        <v>198</v>
      </c>
      <c r="H1" s="1" t="s">
        <v>199</v>
      </c>
      <c r="I1" s="1" t="s">
        <v>200</v>
      </c>
    </row>
    <row r="2" customFormat="false" ht="36" hidden="false" customHeight="true" outlineLevel="0" collapsed="false">
      <c r="A2" s="2" t="s">
        <v>15</v>
      </c>
      <c r="B2" s="2" t="s">
        <v>13</v>
      </c>
      <c r="C2" s="2" t="s">
        <v>201</v>
      </c>
      <c r="D2" s="2" t="s">
        <v>16</v>
      </c>
      <c r="E2" s="2" t="s">
        <v>17</v>
      </c>
      <c r="F2" s="2" t="s">
        <v>202</v>
      </c>
      <c r="G2" s="2" t="s">
        <v>203</v>
      </c>
      <c r="H2" s="2" t="s">
        <v>204</v>
      </c>
      <c r="I2" s="2" t="s">
        <v>19</v>
      </c>
    </row>
    <row r="3" customFormat="false" ht="36" hidden="false" customHeight="true" outlineLevel="0" collapsed="false">
      <c r="A3" s="2" t="s">
        <v>26</v>
      </c>
      <c r="B3" s="2" t="s">
        <v>205</v>
      </c>
      <c r="C3" s="2" t="s">
        <v>206</v>
      </c>
      <c r="D3" s="2" t="s">
        <v>27</v>
      </c>
      <c r="E3" s="2" t="s">
        <v>28</v>
      </c>
      <c r="F3" s="2" t="s">
        <v>207</v>
      </c>
      <c r="G3" s="2" t="s">
        <v>208</v>
      </c>
      <c r="H3" s="2" t="s">
        <v>209</v>
      </c>
      <c r="I3" s="2" t="s">
        <v>30</v>
      </c>
    </row>
    <row r="4" customFormat="false" ht="36" hidden="false" customHeight="true" outlineLevel="0" collapsed="false">
      <c r="A4" s="2" t="s">
        <v>210</v>
      </c>
      <c r="B4" s="2" t="s">
        <v>211</v>
      </c>
      <c r="C4" s="2" t="s">
        <v>212</v>
      </c>
      <c r="D4" s="2" t="s">
        <v>38</v>
      </c>
      <c r="E4" s="2" t="s">
        <v>39</v>
      </c>
      <c r="F4" s="2" t="s">
        <v>213</v>
      </c>
      <c r="G4" s="2" t="s">
        <v>214</v>
      </c>
      <c r="H4" s="2" t="s">
        <v>215</v>
      </c>
      <c r="I4" s="2" t="s">
        <v>216</v>
      </c>
    </row>
    <row r="5" customFormat="false" ht="36" hidden="false" customHeight="true" outlineLevel="0" collapsed="false">
      <c r="A5" s="2" t="s">
        <v>217</v>
      </c>
      <c r="B5" s="2" t="s">
        <v>218</v>
      </c>
      <c r="C5" s="2" t="s">
        <v>219</v>
      </c>
      <c r="D5" s="2" t="s">
        <v>50</v>
      </c>
      <c r="E5" s="2" t="s">
        <v>51</v>
      </c>
      <c r="F5" s="2" t="s">
        <v>220</v>
      </c>
      <c r="G5" s="2" t="s">
        <v>221</v>
      </c>
      <c r="H5" s="2" t="s">
        <v>222</v>
      </c>
      <c r="I5" s="2" t="s">
        <v>223</v>
      </c>
    </row>
    <row r="6" customFormat="false" ht="36" hidden="false" customHeight="true" outlineLevel="0" collapsed="false">
      <c r="A6" s="2" t="s">
        <v>61</v>
      </c>
      <c r="B6" s="2" t="s">
        <v>59</v>
      </c>
      <c r="C6" s="2" t="s">
        <v>224</v>
      </c>
      <c r="D6" s="2" t="s">
        <v>62</v>
      </c>
      <c r="E6" s="2" t="s">
        <v>63</v>
      </c>
      <c r="F6" s="2" t="s">
        <v>225</v>
      </c>
      <c r="G6" s="2" t="s">
        <v>226</v>
      </c>
      <c r="H6" s="2" t="s">
        <v>227</v>
      </c>
      <c r="I6" s="2" t="s">
        <v>228</v>
      </c>
    </row>
    <row r="7" customFormat="false" ht="36" hidden="false" customHeight="true" outlineLevel="0" collapsed="false">
      <c r="A7" s="2" t="s">
        <v>229</v>
      </c>
      <c r="B7" s="2" t="s">
        <v>70</v>
      </c>
      <c r="C7" s="2" t="s">
        <v>230</v>
      </c>
      <c r="D7" s="2" t="s">
        <v>72</v>
      </c>
      <c r="E7" s="2" t="s">
        <v>73</v>
      </c>
      <c r="F7" s="2" t="s">
        <v>231</v>
      </c>
      <c r="G7" s="2" t="s">
        <v>232</v>
      </c>
      <c r="H7" s="2" t="s">
        <v>233</v>
      </c>
      <c r="I7" s="2" t="s">
        <v>234</v>
      </c>
    </row>
    <row r="8" customFormat="false" ht="36" hidden="false" customHeight="true" outlineLevel="0" collapsed="false">
      <c r="A8" s="2" t="s">
        <v>82</v>
      </c>
      <c r="B8" s="2" t="s">
        <v>235</v>
      </c>
      <c r="C8" s="2" t="s">
        <v>236</v>
      </c>
      <c r="D8" s="2" t="s">
        <v>83</v>
      </c>
      <c r="E8" s="2" t="s">
        <v>84</v>
      </c>
      <c r="F8" s="2" t="s">
        <v>237</v>
      </c>
      <c r="G8" s="2" t="s">
        <v>238</v>
      </c>
      <c r="H8" s="2" t="s">
        <v>23</v>
      </c>
      <c r="I8" s="2" t="s">
        <v>86</v>
      </c>
    </row>
    <row r="9" customFormat="false" ht="36" hidden="false" customHeight="true" outlineLevel="0" collapsed="false">
      <c r="A9" s="2" t="s">
        <v>93</v>
      </c>
      <c r="B9" s="2" t="s">
        <v>239</v>
      </c>
      <c r="C9" s="2" t="s">
        <v>206</v>
      </c>
      <c r="D9" s="2" t="s">
        <v>94</v>
      </c>
      <c r="E9" s="2" t="s">
        <v>240</v>
      </c>
      <c r="F9" s="2" t="s">
        <v>241</v>
      </c>
      <c r="G9" s="2" t="s">
        <v>242</v>
      </c>
      <c r="H9" s="2" t="s">
        <v>243</v>
      </c>
      <c r="I9" s="2" t="s">
        <v>96</v>
      </c>
    </row>
    <row r="10" customFormat="false" ht="36" hidden="false" customHeight="true" outlineLevel="0" collapsed="false">
      <c r="A10" s="2" t="s">
        <v>102</v>
      </c>
      <c r="B10" s="2" t="s">
        <v>100</v>
      </c>
      <c r="C10" s="2" t="s">
        <v>244</v>
      </c>
      <c r="D10" s="2" t="s">
        <v>103</v>
      </c>
      <c r="E10" s="2" t="s">
        <v>104</v>
      </c>
      <c r="F10" s="2" t="s">
        <v>245</v>
      </c>
      <c r="G10" s="2" t="s">
        <v>246</v>
      </c>
      <c r="H10" s="2" t="s">
        <v>247</v>
      </c>
      <c r="I10" s="2" t="s">
        <v>248</v>
      </c>
    </row>
    <row r="11" customFormat="false" ht="36" hidden="false" customHeight="true" outlineLevel="0" collapsed="false">
      <c r="A11" s="2" t="s">
        <v>114</v>
      </c>
      <c r="B11" s="2" t="s">
        <v>112</v>
      </c>
      <c r="C11" s="2" t="s">
        <v>249</v>
      </c>
      <c r="D11" s="2" t="s">
        <v>115</v>
      </c>
      <c r="E11" s="2" t="s">
        <v>116</v>
      </c>
      <c r="F11" s="2" t="s">
        <v>250</v>
      </c>
      <c r="G11" s="2" t="s">
        <v>251</v>
      </c>
      <c r="H11" s="2" t="s">
        <v>252</v>
      </c>
      <c r="I11" s="2" t="s">
        <v>253</v>
      </c>
    </row>
    <row r="12" customFormat="false" ht="36" hidden="false" customHeight="true" outlineLevel="0" collapsed="false">
      <c r="A12" s="2" t="s">
        <v>123</v>
      </c>
      <c r="B12" s="2" t="s">
        <v>122</v>
      </c>
      <c r="C12" s="2" t="s">
        <v>254</v>
      </c>
      <c r="D12" s="2" t="s">
        <v>124</v>
      </c>
      <c r="E12" s="2" t="s">
        <v>73</v>
      </c>
      <c r="F12" s="2" t="s">
        <v>255</v>
      </c>
      <c r="G12" s="2" t="s">
        <v>23</v>
      </c>
      <c r="H12" s="2" t="s">
        <v>256</v>
      </c>
      <c r="I12" s="2" t="s">
        <v>126</v>
      </c>
    </row>
    <row r="13" customFormat="false" ht="36" hidden="false" customHeight="true" outlineLevel="0" collapsed="false">
      <c r="A13" s="2" t="s">
        <v>131</v>
      </c>
      <c r="B13" s="2" t="s">
        <v>257</v>
      </c>
      <c r="C13" s="2" t="s">
        <v>244</v>
      </c>
      <c r="D13" s="2" t="s">
        <v>258</v>
      </c>
      <c r="E13" s="2" t="s">
        <v>133</v>
      </c>
      <c r="F13" s="2" t="s">
        <v>259</v>
      </c>
      <c r="G13" s="2" t="s">
        <v>260</v>
      </c>
      <c r="H13" s="2" t="s">
        <v>261</v>
      </c>
      <c r="I13" s="2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38"/>
    <col collapsed="false" customWidth="true" hidden="false" outlineLevel="0" max="4" min="4" style="0" width="8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30"/>
  </cols>
  <sheetData>
    <row r="1" customFormat="false" ht="24" hidden="false" customHeight="true" outlineLevel="0" collapsed="false">
      <c r="A1" s="1" t="s">
        <v>262</v>
      </c>
      <c r="B1" s="1" t="s">
        <v>263</v>
      </c>
      <c r="C1" s="1" t="s">
        <v>1</v>
      </c>
      <c r="D1" s="1" t="s">
        <v>264</v>
      </c>
      <c r="E1" s="1" t="s">
        <v>265</v>
      </c>
      <c r="F1" s="1" t="s">
        <v>266</v>
      </c>
      <c r="G1" s="1" t="s">
        <v>267</v>
      </c>
    </row>
    <row r="2" customFormat="false" ht="15" hidden="false" customHeight="false" outlineLevel="0" collapsed="false">
      <c r="A2" s="2" t="s">
        <v>268</v>
      </c>
      <c r="B2" s="2" t="s">
        <v>269</v>
      </c>
      <c r="C2" s="2" t="s">
        <v>270</v>
      </c>
      <c r="D2" s="2" t="s">
        <v>271</v>
      </c>
      <c r="E2" s="2" t="s">
        <v>272</v>
      </c>
      <c r="F2" s="2" t="s">
        <v>273</v>
      </c>
      <c r="G2" s="2" t="s">
        <v>274</v>
      </c>
    </row>
    <row r="3" customFormat="false" ht="15" hidden="false" customHeight="false" outlineLevel="0" collapsed="false">
      <c r="A3" s="2" t="s">
        <v>160</v>
      </c>
      <c r="B3" s="2" t="s">
        <v>269</v>
      </c>
      <c r="C3" s="2" t="s">
        <v>275</v>
      </c>
      <c r="D3" s="2" t="s">
        <v>271</v>
      </c>
      <c r="E3" s="2" t="s">
        <v>272</v>
      </c>
      <c r="F3" s="2" t="s">
        <v>273</v>
      </c>
      <c r="G3" s="2" t="s">
        <v>276</v>
      </c>
    </row>
    <row r="4" customFormat="false" ht="15" hidden="false" customHeight="false" outlineLevel="0" collapsed="false">
      <c r="A4" s="2" t="s">
        <v>277</v>
      </c>
      <c r="B4" s="2" t="s">
        <v>269</v>
      </c>
      <c r="C4" s="2" t="s">
        <v>278</v>
      </c>
      <c r="D4" s="2" t="s">
        <v>271</v>
      </c>
      <c r="E4" s="2" t="s">
        <v>272</v>
      </c>
      <c r="F4" s="2" t="s">
        <v>273</v>
      </c>
      <c r="G4" s="2" t="s">
        <v>279</v>
      </c>
    </row>
    <row r="5" customFormat="false" ht="15" hidden="false" customHeight="false" outlineLevel="0" collapsed="false">
      <c r="A5" s="2" t="s">
        <v>280</v>
      </c>
      <c r="B5" s="2" t="s">
        <v>281</v>
      </c>
      <c r="C5" s="2" t="s">
        <v>282</v>
      </c>
      <c r="D5" s="2" t="s">
        <v>283</v>
      </c>
      <c r="E5" s="2" t="s">
        <v>272</v>
      </c>
      <c r="F5" s="2" t="s">
        <v>273</v>
      </c>
      <c r="G5" s="2" t="s">
        <v>284</v>
      </c>
    </row>
    <row r="6" customFormat="false" ht="15" hidden="false" customHeight="false" outlineLevel="0" collapsed="false">
      <c r="A6" s="2" t="s">
        <v>285</v>
      </c>
      <c r="B6" s="2" t="s">
        <v>281</v>
      </c>
      <c r="C6" s="2" t="s">
        <v>286</v>
      </c>
      <c r="D6" s="2" t="s">
        <v>271</v>
      </c>
      <c r="E6" s="2" t="s">
        <v>272</v>
      </c>
      <c r="F6" s="2" t="s">
        <v>273</v>
      </c>
      <c r="G6" s="2" t="s">
        <v>287</v>
      </c>
    </row>
    <row r="7" customFormat="false" ht="15" hidden="false" customHeight="false" outlineLevel="0" collapsed="false">
      <c r="A7" s="2" t="s">
        <v>288</v>
      </c>
      <c r="B7" s="2" t="s">
        <v>269</v>
      </c>
      <c r="C7" s="2" t="s">
        <v>289</v>
      </c>
      <c r="D7" s="2" t="s">
        <v>271</v>
      </c>
      <c r="E7" s="2" t="s">
        <v>290</v>
      </c>
      <c r="F7" s="2" t="s">
        <v>291</v>
      </c>
      <c r="G7" s="2" t="s">
        <v>292</v>
      </c>
    </row>
    <row r="8" customFormat="false" ht="15" hidden="false" customHeight="false" outlineLevel="0" collapsed="false">
      <c r="A8" s="2" t="s">
        <v>293</v>
      </c>
      <c r="B8" s="2" t="s">
        <v>281</v>
      </c>
      <c r="C8" s="2" t="s">
        <v>294</v>
      </c>
      <c r="D8" s="2" t="s">
        <v>271</v>
      </c>
      <c r="E8" s="2" t="s">
        <v>272</v>
      </c>
      <c r="F8" s="2" t="s">
        <v>273</v>
      </c>
      <c r="G8" s="2" t="s">
        <v>295</v>
      </c>
    </row>
    <row r="9" customFormat="false" ht="15" hidden="false" customHeight="false" outlineLevel="0" collapsed="false">
      <c r="A9" s="2" t="s">
        <v>296</v>
      </c>
      <c r="B9" s="2" t="s">
        <v>269</v>
      </c>
      <c r="C9" s="2" t="s">
        <v>297</v>
      </c>
      <c r="D9" s="2" t="s">
        <v>271</v>
      </c>
      <c r="E9" s="2" t="s">
        <v>272</v>
      </c>
      <c r="F9" s="2" t="s">
        <v>273</v>
      </c>
      <c r="G9" s="2" t="s">
        <v>298</v>
      </c>
    </row>
    <row r="10" customFormat="false" ht="15" hidden="false" customHeight="false" outlineLevel="0" collapsed="false">
      <c r="A10" s="2" t="s">
        <v>299</v>
      </c>
      <c r="B10" s="2" t="s">
        <v>300</v>
      </c>
      <c r="C10" s="2" t="s">
        <v>301</v>
      </c>
      <c r="D10" s="2" t="s">
        <v>302</v>
      </c>
      <c r="E10" s="2" t="s">
        <v>272</v>
      </c>
      <c r="F10" s="2" t="s">
        <v>303</v>
      </c>
      <c r="G10" s="2" t="s">
        <v>304</v>
      </c>
    </row>
    <row r="11" customFormat="false" ht="15" hidden="false" customHeight="false" outlineLevel="0" collapsed="false">
      <c r="A11" s="2" t="s">
        <v>305</v>
      </c>
      <c r="B11" s="2" t="s">
        <v>281</v>
      </c>
      <c r="C11" s="2" t="s">
        <v>306</v>
      </c>
      <c r="D11" s="2" t="s">
        <v>302</v>
      </c>
      <c r="E11" s="2" t="s">
        <v>272</v>
      </c>
      <c r="F11" s="2" t="s">
        <v>273</v>
      </c>
      <c r="G11" s="2" t="s">
        <v>307</v>
      </c>
    </row>
    <row r="12" customFormat="false" ht="15" hidden="false" customHeight="false" outlineLevel="0" collapsed="false">
      <c r="A12" s="2" t="s">
        <v>308</v>
      </c>
      <c r="B12" s="2" t="s">
        <v>269</v>
      </c>
      <c r="C12" s="2" t="s">
        <v>309</v>
      </c>
      <c r="D12" s="2" t="s">
        <v>271</v>
      </c>
      <c r="E12" s="2" t="s">
        <v>272</v>
      </c>
      <c r="F12" s="2" t="s">
        <v>273</v>
      </c>
      <c r="G12" s="2" t="s">
        <v>310</v>
      </c>
    </row>
    <row r="13" customFormat="false" ht="15" hidden="false" customHeight="false" outlineLevel="0" collapsed="false">
      <c r="A13" s="2" t="s">
        <v>311</v>
      </c>
      <c r="B13" s="2" t="s">
        <v>300</v>
      </c>
      <c r="C13" s="2" t="s">
        <v>312</v>
      </c>
      <c r="D13" s="2" t="s">
        <v>302</v>
      </c>
      <c r="E13" s="2" t="s">
        <v>272</v>
      </c>
      <c r="F13" s="2" t="s">
        <v>303</v>
      </c>
      <c r="G13" s="2" t="s">
        <v>313</v>
      </c>
    </row>
    <row r="14" customFormat="false" ht="15" hidden="false" customHeight="false" outlineLevel="0" collapsed="false">
      <c r="A14" s="2" t="s">
        <v>314</v>
      </c>
      <c r="B14" s="2" t="s">
        <v>315</v>
      </c>
      <c r="C14" s="2" t="s">
        <v>316</v>
      </c>
      <c r="D14" s="2" t="s">
        <v>271</v>
      </c>
      <c r="E14" s="2" t="s">
        <v>272</v>
      </c>
      <c r="F14" s="2" t="s">
        <v>273</v>
      </c>
      <c r="G14" s="2" t="s">
        <v>317</v>
      </c>
    </row>
    <row r="15" customFormat="false" ht="15" hidden="false" customHeight="false" outlineLevel="0" collapsed="false">
      <c r="A15" s="2" t="s">
        <v>318</v>
      </c>
      <c r="B15" s="2" t="s">
        <v>281</v>
      </c>
      <c r="C15" s="2" t="s">
        <v>319</v>
      </c>
      <c r="D15" s="2" t="s">
        <v>271</v>
      </c>
      <c r="E15" s="2" t="s">
        <v>272</v>
      </c>
      <c r="F15" s="2" t="s">
        <v>273</v>
      </c>
      <c r="G15" s="2" t="s">
        <v>320</v>
      </c>
    </row>
    <row r="16" customFormat="false" ht="15" hidden="false" customHeight="false" outlineLevel="0" collapsed="false">
      <c r="A16" s="2" t="s">
        <v>144</v>
      </c>
      <c r="B16" s="2" t="s">
        <v>321</v>
      </c>
      <c r="C16" s="2" t="s">
        <v>322</v>
      </c>
      <c r="D16" s="2" t="s">
        <v>283</v>
      </c>
      <c r="E16" s="2" t="s">
        <v>323</v>
      </c>
      <c r="F16" s="2" t="s">
        <v>324</v>
      </c>
      <c r="G16" s="2" t="s">
        <v>325</v>
      </c>
    </row>
    <row r="17" customFormat="false" ht="15" hidden="false" customHeight="false" outlineLevel="0" collapsed="false">
      <c r="A17" s="2" t="s">
        <v>186</v>
      </c>
      <c r="B17" s="2" t="s">
        <v>326</v>
      </c>
      <c r="C17" s="2" t="s">
        <v>327</v>
      </c>
      <c r="D17" s="2" t="s">
        <v>328</v>
      </c>
      <c r="E17" s="2" t="s">
        <v>272</v>
      </c>
      <c r="F17" s="2" t="s">
        <v>273</v>
      </c>
      <c r="G17" s="2" t="s">
        <v>329</v>
      </c>
    </row>
    <row r="18" customFormat="false" ht="15" hidden="false" customHeight="false" outlineLevel="0" collapsed="false">
      <c r="A18" s="2" t="s">
        <v>330</v>
      </c>
      <c r="B18" s="2" t="s">
        <v>269</v>
      </c>
      <c r="C18" s="2" t="s">
        <v>331</v>
      </c>
      <c r="D18" s="2" t="s">
        <v>271</v>
      </c>
      <c r="E18" s="2" t="s">
        <v>272</v>
      </c>
      <c r="F18" s="2" t="s">
        <v>273</v>
      </c>
      <c r="G18" s="2" t="s">
        <v>332</v>
      </c>
    </row>
    <row r="19" customFormat="false" ht="15" hidden="false" customHeight="false" outlineLevel="0" collapsed="false">
      <c r="A19" s="2" t="s">
        <v>153</v>
      </c>
      <c r="B19" s="2" t="s">
        <v>333</v>
      </c>
      <c r="C19" s="2" t="s">
        <v>334</v>
      </c>
      <c r="D19" s="2" t="s">
        <v>283</v>
      </c>
      <c r="E19" s="2" t="s">
        <v>272</v>
      </c>
      <c r="F19" s="2" t="s">
        <v>273</v>
      </c>
      <c r="G19" s="2" t="s">
        <v>335</v>
      </c>
    </row>
    <row r="20" customFormat="false" ht="15" hidden="false" customHeight="false" outlineLevel="0" collapsed="false">
      <c r="A20" s="2" t="s">
        <v>336</v>
      </c>
      <c r="B20" s="2" t="s">
        <v>281</v>
      </c>
      <c r="C20" s="2" t="s">
        <v>337</v>
      </c>
      <c r="D20" s="2" t="s">
        <v>271</v>
      </c>
      <c r="E20" s="2" t="s">
        <v>272</v>
      </c>
      <c r="F20" s="2" t="s">
        <v>273</v>
      </c>
      <c r="G20" s="2" t="s">
        <v>338</v>
      </c>
    </row>
    <row r="21" customFormat="false" ht="15" hidden="false" customHeight="false" outlineLevel="0" collapsed="false">
      <c r="A21" s="2" t="s">
        <v>339</v>
      </c>
      <c r="B21" s="2" t="s">
        <v>269</v>
      </c>
      <c r="C21" s="2" t="s">
        <v>340</v>
      </c>
      <c r="D21" s="2" t="s">
        <v>271</v>
      </c>
      <c r="E21" s="2" t="s">
        <v>272</v>
      </c>
      <c r="F21" s="2" t="s">
        <v>273</v>
      </c>
      <c r="G21" s="2" t="s">
        <v>341</v>
      </c>
    </row>
    <row r="22" customFormat="false" ht="15" hidden="false" customHeight="false" outlineLevel="0" collapsed="false">
      <c r="A22" s="2" t="s">
        <v>342</v>
      </c>
      <c r="B22" s="2" t="s">
        <v>343</v>
      </c>
      <c r="C22" s="2" t="s">
        <v>344</v>
      </c>
      <c r="D22" s="2" t="s">
        <v>345</v>
      </c>
      <c r="E22" s="2" t="s">
        <v>346</v>
      </c>
      <c r="F22" s="2" t="s">
        <v>291</v>
      </c>
      <c r="G22" s="2" t="s">
        <v>347</v>
      </c>
    </row>
    <row r="23" customFormat="false" ht="15" hidden="false" customHeight="false" outlineLevel="0" collapsed="false">
      <c r="A23" s="2" t="s">
        <v>348</v>
      </c>
      <c r="B23" s="2" t="s">
        <v>269</v>
      </c>
      <c r="C23" s="2" t="s">
        <v>349</v>
      </c>
      <c r="D23" s="2" t="s">
        <v>271</v>
      </c>
      <c r="E23" s="2" t="s">
        <v>272</v>
      </c>
      <c r="F23" s="2" t="s">
        <v>273</v>
      </c>
      <c r="G23" s="2" t="s">
        <v>350</v>
      </c>
    </row>
    <row r="24" customFormat="false" ht="15" hidden="false" customHeight="false" outlineLevel="0" collapsed="false">
      <c r="A24" s="2" t="s">
        <v>351</v>
      </c>
      <c r="B24" s="2" t="s">
        <v>321</v>
      </c>
      <c r="C24" s="2" t="s">
        <v>352</v>
      </c>
      <c r="D24" s="2" t="s">
        <v>283</v>
      </c>
      <c r="E24" s="2" t="s">
        <v>272</v>
      </c>
      <c r="F24" s="2" t="s">
        <v>273</v>
      </c>
      <c r="G24" s="2" t="s">
        <v>353</v>
      </c>
    </row>
    <row r="25" customFormat="false" ht="15" hidden="false" customHeight="false" outlineLevel="0" collapsed="false">
      <c r="A25" s="2" t="s">
        <v>354</v>
      </c>
      <c r="B25" s="2" t="s">
        <v>326</v>
      </c>
      <c r="C25" s="2" t="s">
        <v>355</v>
      </c>
      <c r="D25" s="2" t="s">
        <v>328</v>
      </c>
      <c r="E25" s="2" t="s">
        <v>272</v>
      </c>
      <c r="F25" s="2" t="s">
        <v>273</v>
      </c>
      <c r="G25" s="2" t="s">
        <v>356</v>
      </c>
    </row>
    <row r="26" customFormat="false" ht="15" hidden="false" customHeight="false" outlineLevel="0" collapsed="false">
      <c r="A26" s="2" t="s">
        <v>357</v>
      </c>
      <c r="B26" s="2" t="s">
        <v>358</v>
      </c>
      <c r="C26" s="2" t="s">
        <v>359</v>
      </c>
      <c r="D26" s="2" t="s">
        <v>345</v>
      </c>
      <c r="E26" s="2" t="s">
        <v>272</v>
      </c>
      <c r="F26" s="2" t="s">
        <v>273</v>
      </c>
      <c r="G26" s="2" t="s">
        <v>360</v>
      </c>
    </row>
    <row r="27" customFormat="false" ht="15" hidden="false" customHeight="false" outlineLevel="0" collapsed="false">
      <c r="A27" s="2" t="s">
        <v>167</v>
      </c>
      <c r="B27" s="2" t="s">
        <v>361</v>
      </c>
      <c r="C27" s="2" t="s">
        <v>362</v>
      </c>
      <c r="D27" s="2" t="s">
        <v>271</v>
      </c>
      <c r="E27" s="2" t="s">
        <v>272</v>
      </c>
      <c r="F27" s="2" t="s">
        <v>273</v>
      </c>
      <c r="G27" s="2" t="s">
        <v>363</v>
      </c>
    </row>
    <row r="28" customFormat="false" ht="15" hidden="false" customHeight="false" outlineLevel="0" collapsed="false">
      <c r="A28" s="2" t="s">
        <v>364</v>
      </c>
      <c r="B28" s="2" t="s">
        <v>269</v>
      </c>
      <c r="C28" s="2" t="s">
        <v>365</v>
      </c>
      <c r="D28" s="2" t="s">
        <v>271</v>
      </c>
      <c r="E28" s="2" t="s">
        <v>272</v>
      </c>
      <c r="F28" s="2" t="s">
        <v>273</v>
      </c>
      <c r="G28" s="2" t="s">
        <v>366</v>
      </c>
    </row>
    <row r="29" customFormat="false" ht="15" hidden="false" customHeight="false" outlineLevel="0" collapsed="false">
      <c r="A29" s="2" t="s">
        <v>367</v>
      </c>
      <c r="B29" s="2" t="s">
        <v>321</v>
      </c>
      <c r="C29" s="2" t="s">
        <v>368</v>
      </c>
      <c r="D29" s="2" t="s">
        <v>283</v>
      </c>
      <c r="E29" s="2" t="s">
        <v>272</v>
      </c>
      <c r="F29" s="2" t="s">
        <v>273</v>
      </c>
      <c r="G29" s="2" t="s">
        <v>369</v>
      </c>
    </row>
    <row r="30" customFormat="false" ht="15" hidden="false" customHeight="false" outlineLevel="0" collapsed="false">
      <c r="A30" s="2" t="s">
        <v>370</v>
      </c>
      <c r="B30" s="2" t="s">
        <v>281</v>
      </c>
      <c r="C30" s="2" t="s">
        <v>371</v>
      </c>
      <c r="D30" s="2" t="s">
        <v>283</v>
      </c>
      <c r="E30" s="2" t="s">
        <v>272</v>
      </c>
      <c r="F30" s="2" t="s">
        <v>273</v>
      </c>
      <c r="G30" s="2" t="s">
        <v>372</v>
      </c>
    </row>
    <row r="31" customFormat="false" ht="15" hidden="false" customHeight="false" outlineLevel="0" collapsed="false">
      <c r="A31" s="2" t="s">
        <v>106</v>
      </c>
      <c r="B31" s="2" t="s">
        <v>373</v>
      </c>
      <c r="C31" s="2" t="s">
        <v>374</v>
      </c>
      <c r="D31" s="2" t="s">
        <v>302</v>
      </c>
      <c r="E31" s="2" t="s">
        <v>272</v>
      </c>
      <c r="F31" s="2" t="s">
        <v>273</v>
      </c>
      <c r="G31" s="2" t="s">
        <v>375</v>
      </c>
    </row>
    <row r="32" customFormat="false" ht="15" hidden="false" customHeight="false" outlineLevel="0" collapsed="false">
      <c r="A32" s="2" t="s">
        <v>118</v>
      </c>
      <c r="B32" s="2" t="s">
        <v>376</v>
      </c>
      <c r="C32" s="2" t="s">
        <v>377</v>
      </c>
      <c r="D32" s="2" t="s">
        <v>302</v>
      </c>
      <c r="E32" s="2" t="s">
        <v>323</v>
      </c>
      <c r="F32" s="2" t="s">
        <v>324</v>
      </c>
      <c r="G32" s="2" t="s">
        <v>378</v>
      </c>
    </row>
    <row r="33" customFormat="false" ht="15" hidden="false" customHeight="false" outlineLevel="0" collapsed="false">
      <c r="A33" s="2" t="s">
        <v>126</v>
      </c>
      <c r="B33" s="2" t="s">
        <v>315</v>
      </c>
      <c r="C33" s="2" t="s">
        <v>379</v>
      </c>
      <c r="D33" s="2" t="s">
        <v>271</v>
      </c>
      <c r="E33" s="2" t="s">
        <v>272</v>
      </c>
      <c r="F33" s="2" t="s">
        <v>273</v>
      </c>
      <c r="G33" s="2" t="s">
        <v>380</v>
      </c>
    </row>
    <row r="34" customFormat="false" ht="15" hidden="false" customHeight="false" outlineLevel="0" collapsed="false">
      <c r="A34" s="2" t="s">
        <v>135</v>
      </c>
      <c r="B34" s="2" t="s">
        <v>300</v>
      </c>
      <c r="C34" s="2" t="s">
        <v>381</v>
      </c>
      <c r="D34" s="2" t="s">
        <v>302</v>
      </c>
      <c r="E34" s="2" t="s">
        <v>272</v>
      </c>
      <c r="F34" s="2" t="s">
        <v>273</v>
      </c>
      <c r="G34" s="2" t="s">
        <v>382</v>
      </c>
    </row>
    <row r="35" customFormat="false" ht="15" hidden="false" customHeight="false" outlineLevel="0" collapsed="false">
      <c r="A35" s="2" t="s">
        <v>173</v>
      </c>
      <c r="B35" s="2" t="s">
        <v>383</v>
      </c>
      <c r="C35" s="2" t="s">
        <v>384</v>
      </c>
      <c r="D35" s="2" t="s">
        <v>302</v>
      </c>
      <c r="E35" s="2" t="s">
        <v>272</v>
      </c>
      <c r="F35" s="2" t="s">
        <v>273</v>
      </c>
      <c r="G35" s="2" t="s">
        <v>385</v>
      </c>
    </row>
    <row r="36" customFormat="false" ht="15" hidden="false" customHeight="false" outlineLevel="0" collapsed="false">
      <c r="A36" s="2" t="s">
        <v>192</v>
      </c>
      <c r="B36" s="2" t="s">
        <v>386</v>
      </c>
      <c r="C36" s="2" t="s">
        <v>387</v>
      </c>
      <c r="D36" s="2" t="s">
        <v>302</v>
      </c>
      <c r="E36" s="2" t="s">
        <v>272</v>
      </c>
      <c r="F36" s="2" t="s">
        <v>273</v>
      </c>
      <c r="G36" s="2" t="s">
        <v>388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0"/>
    <col collapsed="false" customWidth="true" hidden="false" outlineLevel="0" max="3" min="3" style="0" width="55"/>
  </cols>
  <sheetData>
    <row r="1" customFormat="false" ht="24" hidden="false" customHeight="true" outlineLevel="0" collapsed="false">
      <c r="A1" s="1" t="s">
        <v>389</v>
      </c>
      <c r="B1" s="1" t="s">
        <v>390</v>
      </c>
      <c r="C1" s="1" t="s">
        <v>391</v>
      </c>
    </row>
    <row r="2" customFormat="false" ht="30" hidden="false" customHeight="true" outlineLevel="0" collapsed="false">
      <c r="A2" s="3" t="s">
        <v>392</v>
      </c>
      <c r="B2" s="3" t="s">
        <v>393</v>
      </c>
      <c r="C2" s="3" t="s">
        <v>394</v>
      </c>
    </row>
    <row r="3" customFormat="false" ht="30" hidden="false" customHeight="true" outlineLevel="0" collapsed="false">
      <c r="A3" s="3" t="s">
        <v>395</v>
      </c>
      <c r="B3" s="3" t="s">
        <v>396</v>
      </c>
      <c r="C3" s="3" t="s">
        <v>397</v>
      </c>
    </row>
    <row r="4" customFormat="false" ht="30" hidden="false" customHeight="true" outlineLevel="0" collapsed="false">
      <c r="A4" s="3" t="s">
        <v>398</v>
      </c>
      <c r="B4" s="3" t="s">
        <v>399</v>
      </c>
      <c r="C4" s="3" t="s">
        <v>400</v>
      </c>
    </row>
    <row r="5" customFormat="false" ht="30" hidden="false" customHeight="true" outlineLevel="0" collapsed="false">
      <c r="A5" s="3" t="s">
        <v>401</v>
      </c>
      <c r="B5" s="3" t="s">
        <v>402</v>
      </c>
      <c r="C5" s="3" t="s">
        <v>403</v>
      </c>
    </row>
    <row r="6" customFormat="false" ht="30" hidden="false" customHeight="true" outlineLevel="0" collapsed="false">
      <c r="A6" s="3" t="s">
        <v>404</v>
      </c>
      <c r="B6" s="3" t="s">
        <v>405</v>
      </c>
      <c r="C6" s="3" t="s">
        <v>406</v>
      </c>
    </row>
    <row r="7" customFormat="false" ht="30" hidden="false" customHeight="true" outlineLevel="0" collapsed="false">
      <c r="A7" s="3" t="s">
        <v>407</v>
      </c>
      <c r="B7" s="3" t="s">
        <v>408</v>
      </c>
      <c r="C7" s="3" t="s">
        <v>409</v>
      </c>
    </row>
    <row r="8" customFormat="false" ht="30" hidden="false" customHeight="true" outlineLevel="0" collapsed="false">
      <c r="A8" s="3" t="s">
        <v>410</v>
      </c>
      <c r="B8" s="3" t="s">
        <v>411</v>
      </c>
      <c r="C8" s="3" t="s">
        <v>412</v>
      </c>
    </row>
    <row r="9" customFormat="false" ht="30" hidden="false" customHeight="true" outlineLevel="0" collapsed="false">
      <c r="A9" s="3" t="s">
        <v>413</v>
      </c>
      <c r="B9" s="3" t="s">
        <v>414</v>
      </c>
      <c r="C9" s="3" t="s">
        <v>411</v>
      </c>
    </row>
    <row r="10" customFormat="false" ht="30" hidden="false" customHeight="true" outlineLevel="0" collapsed="false">
      <c r="A10" s="3" t="s">
        <v>415</v>
      </c>
      <c r="B10" s="3" t="s">
        <v>416</v>
      </c>
      <c r="C10" s="3" t="s">
        <v>417</v>
      </c>
    </row>
    <row r="11" customFormat="false" ht="30" hidden="false" customHeight="true" outlineLevel="0" collapsed="false">
      <c r="A11" s="3" t="s">
        <v>418</v>
      </c>
      <c r="B11" s="3" t="s">
        <v>419</v>
      </c>
      <c r="C11" s="3" t="s">
        <v>420</v>
      </c>
    </row>
    <row r="12" customFormat="false" ht="30" hidden="false" customHeight="true" outlineLevel="0" collapsed="false">
      <c r="A12" s="3" t="s">
        <v>421</v>
      </c>
      <c r="B12" s="3" t="s">
        <v>422</v>
      </c>
      <c r="C12" s="3" t="s">
        <v>423</v>
      </c>
    </row>
    <row r="13" customFormat="false" ht="30" hidden="false" customHeight="true" outlineLevel="0" collapsed="false">
      <c r="A13" s="3" t="s">
        <v>424</v>
      </c>
      <c r="B13" s="3" t="s">
        <v>425</v>
      </c>
      <c r="C13" s="3" t="s">
        <v>426</v>
      </c>
    </row>
    <row r="14" customFormat="false" ht="30" hidden="false" customHeight="true" outlineLevel="0" collapsed="false">
      <c r="A14" s="3" t="s">
        <v>427</v>
      </c>
      <c r="B14" s="3" t="s">
        <v>428</v>
      </c>
      <c r="C14" s="3" t="s">
        <v>428</v>
      </c>
    </row>
    <row r="15" customFormat="false" ht="30" hidden="false" customHeight="true" outlineLevel="0" collapsed="false">
      <c r="A15" s="3" t="s">
        <v>429</v>
      </c>
      <c r="B15" s="3" t="s">
        <v>430</v>
      </c>
      <c r="C15" s="3" t="s">
        <v>431</v>
      </c>
    </row>
    <row r="16" customFormat="false" ht="30" hidden="false" customHeight="true" outlineLevel="0" collapsed="false">
      <c r="A16" s="3" t="s">
        <v>264</v>
      </c>
      <c r="B16" s="3" t="s">
        <v>432</v>
      </c>
      <c r="C16" s="3" t="s">
        <v>432</v>
      </c>
    </row>
    <row r="17" customFormat="false" ht="30" hidden="false" customHeight="true" outlineLevel="0" collapsed="false">
      <c r="A17" s="3" t="s">
        <v>433</v>
      </c>
      <c r="B17" s="3" t="s">
        <v>434</v>
      </c>
      <c r="C17" s="3" t="s">
        <v>434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2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12"/>
  </cols>
  <sheetData>
    <row r="1" customFormat="false" ht="24" hidden="false" customHeight="true" outlineLevel="0" collapsed="false">
      <c r="A1" s="1" t="s">
        <v>9</v>
      </c>
      <c r="B1" s="1" t="s">
        <v>435</v>
      </c>
      <c r="C1" s="1" t="s">
        <v>436</v>
      </c>
      <c r="D1" s="1" t="s">
        <v>437</v>
      </c>
      <c r="E1" s="1" t="s">
        <v>438</v>
      </c>
      <c r="F1" s="1" t="s">
        <v>439</v>
      </c>
    </row>
    <row r="2" customFormat="false" ht="21.75" hidden="false" customHeight="true" outlineLevel="0" collapsed="false">
      <c r="A2" s="2" t="s">
        <v>440</v>
      </c>
      <c r="B2" s="2" t="s">
        <v>441</v>
      </c>
      <c r="C2" s="2" t="s">
        <v>442</v>
      </c>
      <c r="D2" s="2" t="s">
        <v>443</v>
      </c>
      <c r="E2" s="2" t="s">
        <v>444</v>
      </c>
      <c r="F2" s="2" t="s">
        <v>445</v>
      </c>
    </row>
    <row r="3" customFormat="false" ht="21.75" hidden="false" customHeight="true" outlineLevel="0" collapsed="false">
      <c r="A3" s="2" t="s">
        <v>446</v>
      </c>
      <c r="B3" s="2" t="s">
        <v>447</v>
      </c>
      <c r="C3" s="2" t="s">
        <v>448</v>
      </c>
      <c r="D3" s="2" t="s">
        <v>449</v>
      </c>
      <c r="E3" s="2" t="s">
        <v>444</v>
      </c>
      <c r="F3" s="2" t="s">
        <v>445</v>
      </c>
    </row>
    <row r="4" customFormat="false" ht="21.75" hidden="false" customHeight="true" outlineLevel="0" collapsed="false">
      <c r="A4" s="2" t="s">
        <v>450</v>
      </c>
      <c r="B4" s="2" t="s">
        <v>451</v>
      </c>
      <c r="C4" s="2" t="s">
        <v>448</v>
      </c>
      <c r="D4" s="2" t="s">
        <v>452</v>
      </c>
      <c r="E4" s="2" t="s">
        <v>453</v>
      </c>
      <c r="F4" s="2" t="s">
        <v>445</v>
      </c>
    </row>
    <row r="5" customFormat="false" ht="21.75" hidden="false" customHeight="true" outlineLevel="0" collapsed="false">
      <c r="A5" s="2" t="s">
        <v>55</v>
      </c>
      <c r="B5" s="2" t="s">
        <v>454</v>
      </c>
      <c r="C5" s="2" t="s">
        <v>448</v>
      </c>
      <c r="D5" s="2" t="s">
        <v>455</v>
      </c>
      <c r="E5" s="2" t="s">
        <v>453</v>
      </c>
      <c r="F5" s="2" t="s">
        <v>445</v>
      </c>
    </row>
    <row r="6" customFormat="false" ht="21.75" hidden="false" customHeight="true" outlineLevel="0" collapsed="false">
      <c r="A6" s="2" t="s">
        <v>456</v>
      </c>
      <c r="B6" s="2" t="s">
        <v>457</v>
      </c>
      <c r="C6" s="2" t="s">
        <v>442</v>
      </c>
      <c r="D6" s="2" t="s">
        <v>458</v>
      </c>
      <c r="E6" s="2" t="s">
        <v>459</v>
      </c>
      <c r="F6" s="2" t="s">
        <v>445</v>
      </c>
    </row>
    <row r="7" customFormat="false" ht="21.75" hidden="false" customHeight="true" outlineLevel="0" collapsed="false">
      <c r="A7" s="2" t="s">
        <v>460</v>
      </c>
      <c r="B7" s="2" t="s">
        <v>461</v>
      </c>
      <c r="C7" s="2" t="s">
        <v>462</v>
      </c>
      <c r="D7" s="2" t="s">
        <v>139</v>
      </c>
      <c r="E7" s="2" t="s">
        <v>463</v>
      </c>
      <c r="F7" s="2" t="s">
        <v>464</v>
      </c>
    </row>
    <row r="8" customFormat="false" ht="21.75" hidden="false" customHeight="true" outlineLevel="0" collapsed="false">
      <c r="A8" s="2" t="s">
        <v>88</v>
      </c>
      <c r="B8" s="2" t="s">
        <v>465</v>
      </c>
      <c r="C8" s="2" t="s">
        <v>442</v>
      </c>
      <c r="D8" s="2" t="s">
        <v>466</v>
      </c>
      <c r="E8" s="2" t="s">
        <v>467</v>
      </c>
      <c r="F8" s="2" t="s">
        <v>445</v>
      </c>
    </row>
    <row r="9" customFormat="false" ht="21.75" hidden="false" customHeight="true" outlineLevel="0" collapsed="false">
      <c r="A9" s="2" t="s">
        <v>468</v>
      </c>
      <c r="B9" s="2" t="s">
        <v>469</v>
      </c>
      <c r="C9" s="2" t="s">
        <v>448</v>
      </c>
      <c r="D9" s="2" t="s">
        <v>470</v>
      </c>
      <c r="E9" s="2" t="s">
        <v>459</v>
      </c>
      <c r="F9" s="2" t="s">
        <v>464</v>
      </c>
    </row>
    <row r="10" customFormat="false" ht="21.75" hidden="false" customHeight="true" outlineLevel="0" collapsed="false">
      <c r="A10" s="2" t="s">
        <v>471</v>
      </c>
      <c r="B10" s="2" t="s">
        <v>472</v>
      </c>
      <c r="C10" s="2" t="s">
        <v>448</v>
      </c>
      <c r="D10" s="2" t="s">
        <v>34</v>
      </c>
      <c r="E10" s="2" t="s">
        <v>453</v>
      </c>
      <c r="F10" s="2" t="s">
        <v>464</v>
      </c>
    </row>
    <row r="11" customFormat="false" ht="21.75" hidden="false" customHeight="true" outlineLevel="0" collapsed="false">
      <c r="A11" s="2" t="s">
        <v>473</v>
      </c>
      <c r="B11" s="2" t="s">
        <v>474</v>
      </c>
      <c r="C11" s="2" t="s">
        <v>442</v>
      </c>
      <c r="D11" s="2" t="s">
        <v>58</v>
      </c>
      <c r="E11" s="2" t="s">
        <v>463</v>
      </c>
      <c r="F11" s="2" t="s">
        <v>464</v>
      </c>
    </row>
    <row r="12" customFormat="false" ht="21.75" hidden="false" customHeight="true" outlineLevel="0" collapsed="false">
      <c r="A12" s="2" t="s">
        <v>475</v>
      </c>
      <c r="B12" s="2" t="s">
        <v>476</v>
      </c>
      <c r="C12" s="2" t="s">
        <v>442</v>
      </c>
      <c r="D12" s="2" t="s">
        <v>477</v>
      </c>
      <c r="E12" s="2" t="s">
        <v>453</v>
      </c>
      <c r="F12" s="2" t="s">
        <v>445</v>
      </c>
    </row>
    <row r="13" customFormat="false" ht="21.75" hidden="false" customHeight="true" outlineLevel="0" collapsed="false">
      <c r="A13" s="2" t="s">
        <v>478</v>
      </c>
      <c r="B13" s="2" t="s">
        <v>479</v>
      </c>
      <c r="C13" s="2" t="s">
        <v>448</v>
      </c>
      <c r="D13" s="2" t="s">
        <v>480</v>
      </c>
      <c r="E13" s="2" t="s">
        <v>453</v>
      </c>
      <c r="F13" s="2" t="s">
        <v>445</v>
      </c>
    </row>
    <row r="14" customFormat="false" ht="21.75" hidden="false" customHeight="true" outlineLevel="0" collapsed="false">
      <c r="A14" s="2" t="s">
        <v>120</v>
      </c>
      <c r="B14" s="2" t="s">
        <v>481</v>
      </c>
      <c r="C14" s="2" t="s">
        <v>442</v>
      </c>
      <c r="D14" s="2" t="s">
        <v>482</v>
      </c>
      <c r="E14" s="2" t="s">
        <v>467</v>
      </c>
      <c r="F14" s="2" t="s">
        <v>464</v>
      </c>
    </row>
    <row r="15" customFormat="false" ht="21.75" hidden="false" customHeight="true" outlineLevel="0" collapsed="false">
      <c r="A15" s="2" t="s">
        <v>483</v>
      </c>
      <c r="B15" s="2" t="s">
        <v>484</v>
      </c>
      <c r="C15" s="2" t="s">
        <v>448</v>
      </c>
      <c r="D15" s="2" t="s">
        <v>485</v>
      </c>
      <c r="E15" s="2" t="s">
        <v>459</v>
      </c>
      <c r="F15" s="2" t="s">
        <v>464</v>
      </c>
    </row>
    <row r="16" customFormat="false" ht="21.75" hidden="false" customHeight="true" outlineLevel="0" collapsed="false">
      <c r="A16" s="2" t="s">
        <v>128</v>
      </c>
      <c r="B16" s="2" t="s">
        <v>486</v>
      </c>
      <c r="C16" s="2" t="s">
        <v>442</v>
      </c>
      <c r="D16" s="2" t="s">
        <v>487</v>
      </c>
      <c r="E16" s="2" t="s">
        <v>467</v>
      </c>
      <c r="F16" s="2" t="s">
        <v>445</v>
      </c>
    </row>
    <row r="17" customFormat="false" ht="21.75" hidden="false" customHeight="true" outlineLevel="0" collapsed="false">
      <c r="A17" s="2" t="s">
        <v>137</v>
      </c>
      <c r="B17" s="2" t="s">
        <v>488</v>
      </c>
      <c r="C17" s="2" t="s">
        <v>462</v>
      </c>
      <c r="D17" s="2" t="s">
        <v>489</v>
      </c>
      <c r="E17" s="2" t="s">
        <v>453</v>
      </c>
      <c r="F17" s="2" t="s">
        <v>445</v>
      </c>
    </row>
    <row r="18" customFormat="false" ht="21.75" hidden="false" customHeight="true" outlineLevel="0" collapsed="false">
      <c r="A18" s="2" t="s">
        <v>490</v>
      </c>
      <c r="B18" s="2" t="s">
        <v>491</v>
      </c>
      <c r="C18" s="2" t="s">
        <v>442</v>
      </c>
      <c r="D18" s="2" t="s">
        <v>94</v>
      </c>
      <c r="E18" s="2" t="s">
        <v>467</v>
      </c>
      <c r="F18" s="2" t="s">
        <v>464</v>
      </c>
    </row>
    <row r="19" customFormat="false" ht="21.75" hidden="false" customHeight="true" outlineLevel="0" collapsed="false">
      <c r="A19" s="2" t="s">
        <v>492</v>
      </c>
      <c r="B19" s="2" t="s">
        <v>493</v>
      </c>
      <c r="C19" s="2" t="s">
        <v>494</v>
      </c>
      <c r="D19" s="2" t="s">
        <v>495</v>
      </c>
      <c r="E19" s="2" t="s">
        <v>496</v>
      </c>
      <c r="F19" s="2" t="s">
        <v>445</v>
      </c>
    </row>
    <row r="20" customFormat="false" ht="21.75" hidden="false" customHeight="true" outlineLevel="0" collapsed="false">
      <c r="A20" s="2" t="s">
        <v>497</v>
      </c>
      <c r="B20" s="2" t="s">
        <v>498</v>
      </c>
      <c r="C20" s="2" t="s">
        <v>448</v>
      </c>
      <c r="D20" s="2" t="s">
        <v>90</v>
      </c>
      <c r="E20" s="2" t="s">
        <v>459</v>
      </c>
      <c r="F20" s="2" t="s">
        <v>445</v>
      </c>
    </row>
    <row r="21" customFormat="false" ht="21.75" hidden="false" customHeight="true" outlineLevel="0" collapsed="false">
      <c r="A21" s="2" t="s">
        <v>174</v>
      </c>
      <c r="B21" s="2" t="s">
        <v>499</v>
      </c>
      <c r="C21" s="2" t="s">
        <v>448</v>
      </c>
      <c r="D21" s="2" t="s">
        <v>500</v>
      </c>
      <c r="E21" s="2" t="s">
        <v>453</v>
      </c>
      <c r="F21" s="2" t="s">
        <v>464</v>
      </c>
    </row>
    <row r="22" customFormat="false" ht="21.75" hidden="false" customHeight="true" outlineLevel="0" collapsed="false">
      <c r="A22" s="2" t="s">
        <v>501</v>
      </c>
      <c r="B22" s="2" t="s">
        <v>502</v>
      </c>
      <c r="C22" s="2" t="s">
        <v>462</v>
      </c>
      <c r="D22" s="2" t="s">
        <v>139</v>
      </c>
      <c r="E22" s="2" t="s">
        <v>444</v>
      </c>
      <c r="F22" s="2" t="s">
        <v>464</v>
      </c>
    </row>
    <row r="23" customFormat="false" ht="21.75" hidden="false" customHeight="true" outlineLevel="0" collapsed="false">
      <c r="A23" s="2" t="s">
        <v>155</v>
      </c>
      <c r="B23" s="2" t="s">
        <v>503</v>
      </c>
      <c r="C23" s="2" t="s">
        <v>448</v>
      </c>
      <c r="D23" s="2" t="s">
        <v>148</v>
      </c>
      <c r="E23" s="2" t="s">
        <v>453</v>
      </c>
      <c r="F23" s="2" t="s">
        <v>464</v>
      </c>
    </row>
    <row r="24" customFormat="false" ht="21.75" hidden="false" customHeight="true" outlineLevel="0" collapsed="false">
      <c r="A24" s="2" t="s">
        <v>162</v>
      </c>
      <c r="B24" s="2" t="s">
        <v>504</v>
      </c>
      <c r="C24" s="2" t="s">
        <v>448</v>
      </c>
      <c r="D24" s="2" t="s">
        <v>156</v>
      </c>
      <c r="E24" s="2" t="s">
        <v>444</v>
      </c>
      <c r="F24" s="2" t="s">
        <v>445</v>
      </c>
    </row>
    <row r="25" customFormat="false" ht="21.75" hidden="false" customHeight="true" outlineLevel="0" collapsed="false">
      <c r="A25" s="2" t="s">
        <v>168</v>
      </c>
      <c r="B25" s="2" t="s">
        <v>505</v>
      </c>
      <c r="C25" s="2" t="s">
        <v>448</v>
      </c>
      <c r="D25" s="2" t="s">
        <v>163</v>
      </c>
      <c r="E25" s="2" t="s">
        <v>453</v>
      </c>
      <c r="F25" s="2" t="s">
        <v>464</v>
      </c>
    </row>
    <row r="26" customFormat="false" ht="21.75" hidden="false" customHeight="true" outlineLevel="0" collapsed="false">
      <c r="A26" s="2" t="s">
        <v>181</v>
      </c>
      <c r="B26" s="2" t="s">
        <v>506</v>
      </c>
      <c r="C26" s="2" t="s">
        <v>442</v>
      </c>
      <c r="D26" s="2" t="s">
        <v>175</v>
      </c>
      <c r="E26" s="2" t="s">
        <v>463</v>
      </c>
      <c r="F26" s="2" t="s">
        <v>464</v>
      </c>
    </row>
    <row r="27" customFormat="false" ht="21.75" hidden="false" customHeight="true" outlineLevel="0" collapsed="false">
      <c r="A27" s="2" t="s">
        <v>187</v>
      </c>
      <c r="B27" s="2" t="s">
        <v>507</v>
      </c>
      <c r="C27" s="2" t="s">
        <v>448</v>
      </c>
      <c r="D27" s="2" t="s">
        <v>182</v>
      </c>
      <c r="E27" s="2" t="s">
        <v>463</v>
      </c>
      <c r="F27" s="2" t="s">
        <v>464</v>
      </c>
    </row>
    <row r="28" customFormat="false" ht="21.75" hidden="false" customHeight="true" outlineLevel="0" collapsed="false">
      <c r="A28" s="2" t="s">
        <v>193</v>
      </c>
      <c r="B28" s="2" t="s">
        <v>508</v>
      </c>
      <c r="C28" s="2" t="s">
        <v>442</v>
      </c>
      <c r="D28" s="2" t="s">
        <v>189</v>
      </c>
      <c r="E28" s="2" t="s">
        <v>467</v>
      </c>
      <c r="F28" s="2" t="s">
        <v>464</v>
      </c>
    </row>
    <row r="29" customFormat="false" ht="21.75" hidden="false" customHeight="true" outlineLevel="0" collapsed="false">
      <c r="A29" s="2" t="s">
        <v>509</v>
      </c>
      <c r="B29" s="2" t="s">
        <v>510</v>
      </c>
      <c r="C29" s="2" t="s">
        <v>448</v>
      </c>
      <c r="D29" s="2" t="s">
        <v>511</v>
      </c>
      <c r="E29" s="2" t="s">
        <v>453</v>
      </c>
      <c r="F29" s="2" t="s">
        <v>464</v>
      </c>
    </row>
    <row r="30" customFormat="false" ht="21.75" hidden="false" customHeight="true" outlineLevel="0" collapsed="false">
      <c r="A30" s="2" t="s">
        <v>512</v>
      </c>
      <c r="B30" s="2" t="s">
        <v>513</v>
      </c>
      <c r="C30" s="2" t="s">
        <v>442</v>
      </c>
      <c r="D30" s="2" t="s">
        <v>94</v>
      </c>
      <c r="E30" s="2" t="s">
        <v>463</v>
      </c>
      <c r="F30" s="2" t="s">
        <v>464</v>
      </c>
    </row>
    <row r="31" customFormat="false" ht="21.75" hidden="false" customHeight="true" outlineLevel="0" collapsed="false">
      <c r="A31" s="2" t="s">
        <v>514</v>
      </c>
      <c r="B31" s="2" t="s">
        <v>515</v>
      </c>
      <c r="C31" s="2" t="s">
        <v>448</v>
      </c>
      <c r="D31" s="2" t="s">
        <v>58</v>
      </c>
      <c r="E31" s="2" t="s">
        <v>463</v>
      </c>
      <c r="F31" s="2" t="s">
        <v>464</v>
      </c>
    </row>
    <row r="33" customFormat="false" ht="15" hidden="false" customHeight="false" outlineLevel="0" collapsed="false">
      <c r="A33" s="4" t="s">
        <v>516</v>
      </c>
      <c r="B33" s="4"/>
    </row>
    <row r="34" customFormat="false" ht="15" hidden="false" customHeight="false" outlineLevel="0" collapsed="false">
      <c r="A34" s="4" t="s">
        <v>517</v>
      </c>
      <c r="B34" s="4" t="n">
        <f aca="false">COUNTA(A2:A31)</f>
        <v>30</v>
      </c>
    </row>
    <row r="35" customFormat="false" ht="15" hidden="false" customHeight="false" outlineLevel="0" collapsed="false">
      <c r="A35" s="4" t="s">
        <v>464</v>
      </c>
      <c r="B35" s="4" t="n">
        <f aca="false">COUNTIF(F2:F31,"Open")</f>
        <v>17</v>
      </c>
    </row>
    <row r="36" customFormat="false" ht="15" hidden="false" customHeight="false" outlineLevel="0" collapsed="false">
      <c r="A36" s="4" t="s">
        <v>445</v>
      </c>
      <c r="B36" s="4" t="n">
        <f aca="false">COUNTIF(F2:F31,"Closed")</f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6" min="5" style="0" width="22"/>
  </cols>
  <sheetData>
    <row r="1" customFormat="false" ht="24" hidden="false" customHeight="true" outlineLevel="0" collapsed="false">
      <c r="A1" s="1" t="s">
        <v>10</v>
      </c>
      <c r="B1" s="1" t="s">
        <v>195</v>
      </c>
      <c r="C1" s="1" t="s">
        <v>518</v>
      </c>
      <c r="D1" s="1" t="s">
        <v>519</v>
      </c>
      <c r="E1" s="1" t="s">
        <v>520</v>
      </c>
      <c r="F1" s="1" t="s">
        <v>439</v>
      </c>
    </row>
    <row r="2" customFormat="false" ht="15" hidden="false" customHeight="false" outlineLevel="0" collapsed="false">
      <c r="A2" s="2" t="s">
        <v>521</v>
      </c>
      <c r="B2" s="2" t="s">
        <v>522</v>
      </c>
      <c r="C2" s="2" t="s">
        <v>523</v>
      </c>
      <c r="D2" s="2" t="n">
        <v>24</v>
      </c>
      <c r="E2" s="2" t="s">
        <v>485</v>
      </c>
      <c r="F2" s="2" t="s">
        <v>524</v>
      </c>
    </row>
    <row r="3" customFormat="false" ht="15" hidden="false" customHeight="false" outlineLevel="0" collapsed="false">
      <c r="A3" s="2" t="s">
        <v>525</v>
      </c>
      <c r="B3" s="2" t="s">
        <v>526</v>
      </c>
      <c r="C3" s="2" t="s">
        <v>523</v>
      </c>
      <c r="D3" s="2" t="n">
        <v>8</v>
      </c>
      <c r="E3" s="2" t="s">
        <v>24</v>
      </c>
      <c r="F3" s="2" t="s">
        <v>527</v>
      </c>
    </row>
    <row r="4" customFormat="false" ht="15" hidden="false" customHeight="false" outlineLevel="0" collapsed="false">
      <c r="A4" s="2" t="s">
        <v>528</v>
      </c>
      <c r="B4" s="2" t="s">
        <v>529</v>
      </c>
      <c r="C4" s="2" t="s">
        <v>523</v>
      </c>
      <c r="D4" s="2" t="n">
        <v>12</v>
      </c>
      <c r="E4" s="2" t="s">
        <v>156</v>
      </c>
      <c r="F4" s="2" t="s">
        <v>524</v>
      </c>
    </row>
    <row r="5" customFormat="false" ht="15" hidden="false" customHeight="false" outlineLevel="0" collapsed="false">
      <c r="A5" s="2" t="s">
        <v>530</v>
      </c>
      <c r="B5" s="2" t="s">
        <v>531</v>
      </c>
      <c r="C5" s="2" t="s">
        <v>532</v>
      </c>
      <c r="D5" s="2" t="n">
        <v>20</v>
      </c>
      <c r="E5" s="2" t="s">
        <v>58</v>
      </c>
      <c r="F5" s="2" t="s">
        <v>524</v>
      </c>
    </row>
    <row r="6" customFormat="false" ht="15" hidden="false" customHeight="false" outlineLevel="0" collapsed="false">
      <c r="A6" s="2" t="s">
        <v>533</v>
      </c>
      <c r="B6" s="2" t="s">
        <v>534</v>
      </c>
      <c r="C6" s="2" t="s">
        <v>532</v>
      </c>
      <c r="D6" s="2" t="n">
        <v>32</v>
      </c>
      <c r="E6" s="2" t="s">
        <v>69</v>
      </c>
      <c r="F6" s="2" t="s">
        <v>524</v>
      </c>
    </row>
    <row r="7" customFormat="false" ht="15" hidden="false" customHeight="false" outlineLevel="0" collapsed="false">
      <c r="A7" s="2" t="s">
        <v>535</v>
      </c>
      <c r="B7" s="2" t="s">
        <v>536</v>
      </c>
      <c r="C7" s="2" t="s">
        <v>532</v>
      </c>
      <c r="D7" s="2" t="n">
        <v>24</v>
      </c>
      <c r="E7" s="2" t="s">
        <v>99</v>
      </c>
      <c r="F7" s="2" t="s">
        <v>537</v>
      </c>
    </row>
    <row r="8" customFormat="false" ht="15" hidden="false" customHeight="false" outlineLevel="0" collapsed="false">
      <c r="A8" s="2" t="s">
        <v>538</v>
      </c>
      <c r="B8" s="2" t="s">
        <v>539</v>
      </c>
      <c r="C8" s="2" t="s">
        <v>532</v>
      </c>
      <c r="D8" s="2" t="n">
        <v>16</v>
      </c>
      <c r="E8" s="2" t="s">
        <v>129</v>
      </c>
      <c r="F8" s="2" t="s">
        <v>524</v>
      </c>
    </row>
    <row r="9" customFormat="false" ht="15" hidden="false" customHeight="false" outlineLevel="0" collapsed="false">
      <c r="A9" s="2" t="s">
        <v>540</v>
      </c>
      <c r="B9" s="2" t="s">
        <v>541</v>
      </c>
      <c r="C9" s="2" t="s">
        <v>542</v>
      </c>
      <c r="D9" s="2" t="n">
        <v>16</v>
      </c>
      <c r="E9" s="2" t="s">
        <v>79</v>
      </c>
      <c r="F9" s="2" t="s">
        <v>543</v>
      </c>
    </row>
    <row r="10" customFormat="false" ht="15" hidden="false" customHeight="false" outlineLevel="0" collapsed="false">
      <c r="A10" s="2" t="s">
        <v>44</v>
      </c>
      <c r="B10" s="2" t="s">
        <v>544</v>
      </c>
      <c r="C10" s="2" t="s">
        <v>532</v>
      </c>
      <c r="D10" s="2" t="n">
        <v>28</v>
      </c>
      <c r="E10" s="2" t="s">
        <v>500</v>
      </c>
      <c r="F10" s="2" t="s">
        <v>537</v>
      </c>
    </row>
    <row r="11" customFormat="false" ht="15" hidden="false" customHeight="false" outlineLevel="0" collapsed="false">
      <c r="A11" s="2" t="s">
        <v>545</v>
      </c>
      <c r="B11" s="2" t="s">
        <v>546</v>
      </c>
      <c r="C11" s="2" t="s">
        <v>532</v>
      </c>
      <c r="D11" s="2" t="n">
        <v>20</v>
      </c>
      <c r="E11" s="2" t="s">
        <v>148</v>
      </c>
      <c r="F11" s="2" t="s">
        <v>537</v>
      </c>
    </row>
    <row r="12" customFormat="false" ht="15" hidden="false" customHeight="false" outlineLevel="0" collapsed="false">
      <c r="A12" s="2" t="s">
        <v>547</v>
      </c>
      <c r="B12" s="2" t="s">
        <v>548</v>
      </c>
      <c r="C12" s="2" t="s">
        <v>532</v>
      </c>
      <c r="D12" s="2" t="n">
        <v>16</v>
      </c>
      <c r="E12" s="2" t="s">
        <v>58</v>
      </c>
      <c r="F12" s="2" t="s">
        <v>537</v>
      </c>
    </row>
    <row r="13" customFormat="false" ht="15" hidden="false" customHeight="false" outlineLevel="0" collapsed="false">
      <c r="A13" s="2" t="s">
        <v>549</v>
      </c>
      <c r="B13" s="2" t="s">
        <v>550</v>
      </c>
      <c r="C13" s="2" t="s">
        <v>542</v>
      </c>
      <c r="D13" s="2" t="n">
        <v>8</v>
      </c>
      <c r="E13" s="2" t="s">
        <v>79</v>
      </c>
      <c r="F13" s="2" t="s">
        <v>543</v>
      </c>
    </row>
    <row r="14" customFormat="false" ht="15" hidden="false" customHeight="false" outlineLevel="0" collapsed="false">
      <c r="A14" s="2" t="s">
        <v>551</v>
      </c>
      <c r="B14" s="2" t="s">
        <v>552</v>
      </c>
      <c r="C14" s="2" t="s">
        <v>542</v>
      </c>
      <c r="D14" s="2" t="n">
        <v>16</v>
      </c>
      <c r="E14" s="2" t="s">
        <v>553</v>
      </c>
      <c r="F14" s="2" t="s">
        <v>543</v>
      </c>
    </row>
    <row r="15" customFormat="false" ht="15" hidden="false" customHeight="false" outlineLevel="0" collapsed="false">
      <c r="A15" s="2" t="s">
        <v>554</v>
      </c>
      <c r="B15" s="2" t="s">
        <v>508</v>
      </c>
      <c r="C15" s="2" t="s">
        <v>542</v>
      </c>
      <c r="D15" s="2" t="n">
        <v>32</v>
      </c>
      <c r="E15" s="2" t="s">
        <v>189</v>
      </c>
      <c r="F15" s="2" t="s">
        <v>543</v>
      </c>
    </row>
    <row r="16" customFormat="false" ht="15" hidden="false" customHeight="false" outlineLevel="0" collapsed="false">
      <c r="A16" s="2" t="s">
        <v>33</v>
      </c>
      <c r="B16" s="2" t="s">
        <v>513</v>
      </c>
      <c r="C16" s="2" t="s">
        <v>555</v>
      </c>
      <c r="D16" s="2" t="n">
        <v>40</v>
      </c>
      <c r="E16" s="2" t="s">
        <v>556</v>
      </c>
      <c r="F16" s="2" t="s">
        <v>557</v>
      </c>
    </row>
    <row r="17" customFormat="false" ht="15" hidden="false" customHeight="false" outlineLevel="0" collapsed="false">
      <c r="A17" s="2" t="s">
        <v>22</v>
      </c>
      <c r="B17" s="2" t="s">
        <v>558</v>
      </c>
      <c r="C17" s="2" t="s">
        <v>532</v>
      </c>
      <c r="D17" s="2" t="n">
        <v>24</v>
      </c>
      <c r="E17" s="2" t="s">
        <v>90</v>
      </c>
      <c r="F17" s="2" t="s">
        <v>537</v>
      </c>
    </row>
    <row r="18" customFormat="false" ht="15" hidden="false" customHeight="false" outlineLevel="0" collapsed="false">
      <c r="A18" s="2" t="s">
        <v>169</v>
      </c>
      <c r="B18" s="2" t="s">
        <v>559</v>
      </c>
      <c r="C18" s="2" t="s">
        <v>532</v>
      </c>
      <c r="D18" s="2" t="n">
        <v>20</v>
      </c>
      <c r="E18" s="2" t="s">
        <v>163</v>
      </c>
      <c r="F18" s="2" t="s">
        <v>537</v>
      </c>
    </row>
    <row r="19" customFormat="false" ht="15" hidden="false" customHeight="false" outlineLevel="0" collapsed="false">
      <c r="A19" s="2" t="s">
        <v>560</v>
      </c>
      <c r="B19" s="2" t="s">
        <v>561</v>
      </c>
      <c r="C19" s="2" t="s">
        <v>542</v>
      </c>
      <c r="D19" s="2" t="n">
        <v>16</v>
      </c>
      <c r="E19" s="2" t="s">
        <v>94</v>
      </c>
      <c r="F19" s="2" t="s">
        <v>524</v>
      </c>
    </row>
    <row r="20" customFormat="false" ht="15" hidden="false" customHeight="false" outlineLevel="0" collapsed="false">
      <c r="A20" s="2" t="s">
        <v>68</v>
      </c>
      <c r="B20" s="2" t="s">
        <v>562</v>
      </c>
      <c r="C20" s="2" t="s">
        <v>555</v>
      </c>
      <c r="D20" s="2" t="n">
        <v>24</v>
      </c>
      <c r="E20" s="2" t="s">
        <v>58</v>
      </c>
      <c r="F20" s="2" t="s">
        <v>557</v>
      </c>
    </row>
    <row r="21" customFormat="false" ht="15" hidden="false" customHeight="false" outlineLevel="0" collapsed="false">
      <c r="A21" s="2" t="s">
        <v>147</v>
      </c>
      <c r="B21" s="2" t="s">
        <v>563</v>
      </c>
      <c r="C21" s="2" t="s">
        <v>555</v>
      </c>
      <c r="D21" s="2" t="n">
        <v>16</v>
      </c>
      <c r="E21" s="2" t="s">
        <v>139</v>
      </c>
      <c r="F21" s="2" t="s">
        <v>557</v>
      </c>
    </row>
    <row r="22" customFormat="false" ht="15" hidden="false" customHeight="false" outlineLevel="0" collapsed="false">
      <c r="A22" s="2" t="s">
        <v>188</v>
      </c>
      <c r="B22" s="2" t="s">
        <v>564</v>
      </c>
      <c r="C22" s="2" t="s">
        <v>555</v>
      </c>
      <c r="D22" s="2" t="n">
        <v>80</v>
      </c>
      <c r="E22" s="2" t="s">
        <v>182</v>
      </c>
      <c r="F22" s="2" t="s">
        <v>557</v>
      </c>
    </row>
    <row r="23" customFormat="false" ht="15" hidden="false" customHeight="false" outlineLevel="0" collapsed="false">
      <c r="A23" s="2" t="s">
        <v>138</v>
      </c>
      <c r="B23" s="2" t="s">
        <v>565</v>
      </c>
      <c r="C23" s="2" t="s">
        <v>566</v>
      </c>
      <c r="D23" s="2" t="n">
        <v>12</v>
      </c>
      <c r="E23" s="2" t="s">
        <v>129</v>
      </c>
      <c r="F23" s="2" t="s">
        <v>567</v>
      </c>
    </row>
    <row r="24" customFormat="false" ht="15" hidden="false" customHeight="false" outlineLevel="0" collapsed="false">
      <c r="A24" s="2" t="s">
        <v>56</v>
      </c>
      <c r="B24" s="2" t="s">
        <v>568</v>
      </c>
      <c r="C24" s="2" t="s">
        <v>532</v>
      </c>
      <c r="D24" s="2" t="n">
        <v>24</v>
      </c>
      <c r="E24" s="2" t="s">
        <v>569</v>
      </c>
      <c r="F24" s="2" t="s">
        <v>537</v>
      </c>
    </row>
    <row r="25" customFormat="false" ht="15" hidden="false" customHeight="false" outlineLevel="0" collapsed="false">
      <c r="A25" s="2" t="s">
        <v>89</v>
      </c>
      <c r="B25" s="2" t="s">
        <v>570</v>
      </c>
      <c r="C25" s="2" t="s">
        <v>555</v>
      </c>
      <c r="D25" s="2" t="n">
        <v>24</v>
      </c>
      <c r="E25" s="2" t="s">
        <v>175</v>
      </c>
      <c r="F25" s="2" t="s">
        <v>557</v>
      </c>
    </row>
    <row r="26" customFormat="false" ht="15" hidden="false" customHeight="false" outlineLevel="0" collapsed="false">
      <c r="A26" s="2" t="s">
        <v>78</v>
      </c>
      <c r="B26" s="2" t="s">
        <v>486</v>
      </c>
      <c r="C26" s="2" t="s">
        <v>542</v>
      </c>
      <c r="D26" s="2" t="n">
        <v>12</v>
      </c>
      <c r="E26" s="2" t="s">
        <v>121</v>
      </c>
      <c r="F26" s="2" t="s">
        <v>543</v>
      </c>
    </row>
    <row r="27" customFormat="false" ht="15" hidden="false" customHeight="false" outlineLevel="0" collapsed="false">
      <c r="A27" s="4" t="s">
        <v>571</v>
      </c>
      <c r="D27" s="4" t="n">
        <f aca="false">SUM(D2:D26)</f>
        <v>564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4" min="3" style="0" width="6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8"/>
    <col collapsed="false" customWidth="true" hidden="false" outlineLevel="0" max="8" min="8" style="0" width="50"/>
    <col collapsed="false" customWidth="true" hidden="false" outlineLevel="0" max="9" min="9" style="0" width="12"/>
  </cols>
  <sheetData>
    <row r="1" customFormat="false" ht="24" hidden="false" customHeight="true" outlineLevel="0" collapsed="false">
      <c r="A1" s="1" t="s">
        <v>572</v>
      </c>
      <c r="B1" s="1" t="s">
        <v>573</v>
      </c>
      <c r="C1" s="1" t="s">
        <v>574</v>
      </c>
      <c r="D1" s="1" t="s">
        <v>575</v>
      </c>
      <c r="E1" s="1" t="s">
        <v>576</v>
      </c>
      <c r="F1" s="1" t="s">
        <v>264</v>
      </c>
      <c r="G1" s="1" t="s">
        <v>518</v>
      </c>
      <c r="H1" s="1" t="s">
        <v>577</v>
      </c>
      <c r="I1" s="1" t="s">
        <v>578</v>
      </c>
    </row>
    <row r="2" customFormat="false" ht="30" hidden="false" customHeight="true" outlineLevel="0" collapsed="false">
      <c r="A2" s="2" t="s">
        <v>579</v>
      </c>
      <c r="B2" s="2" t="s">
        <v>580</v>
      </c>
      <c r="C2" s="2" t="n">
        <v>3</v>
      </c>
      <c r="D2" s="2" t="n">
        <v>5</v>
      </c>
      <c r="E2" s="2" t="n">
        <f aca="false">C2*D2</f>
        <v>15</v>
      </c>
      <c r="F2" s="2" t="s">
        <v>432</v>
      </c>
      <c r="G2" s="2" t="s">
        <v>581</v>
      </c>
      <c r="H2" s="2" t="s">
        <v>582</v>
      </c>
      <c r="I2" s="2" t="s">
        <v>583</v>
      </c>
    </row>
    <row r="3" customFormat="false" ht="30" hidden="false" customHeight="true" outlineLevel="0" collapsed="false">
      <c r="A3" s="2" t="s">
        <v>584</v>
      </c>
      <c r="B3" s="2" t="s">
        <v>585</v>
      </c>
      <c r="C3" s="2" t="n">
        <v>2</v>
      </c>
      <c r="D3" s="2" t="n">
        <v>5</v>
      </c>
      <c r="E3" s="2" t="n">
        <f aca="false">C3*D3</f>
        <v>10</v>
      </c>
      <c r="F3" s="2" t="s">
        <v>586</v>
      </c>
      <c r="G3" s="2" t="s">
        <v>523</v>
      </c>
      <c r="H3" s="2" t="s">
        <v>587</v>
      </c>
      <c r="I3" s="2" t="s">
        <v>588</v>
      </c>
    </row>
    <row r="4" customFormat="false" ht="30" hidden="false" customHeight="true" outlineLevel="0" collapsed="false">
      <c r="A4" s="2" t="s">
        <v>589</v>
      </c>
      <c r="B4" s="2" t="s">
        <v>590</v>
      </c>
      <c r="C4" s="2" t="n">
        <v>3</v>
      </c>
      <c r="D4" s="2" t="n">
        <v>4</v>
      </c>
      <c r="E4" s="2" t="n">
        <f aca="false">C4*D4</f>
        <v>12</v>
      </c>
      <c r="F4" s="2" t="s">
        <v>432</v>
      </c>
      <c r="G4" s="2" t="s">
        <v>532</v>
      </c>
      <c r="H4" s="2" t="s">
        <v>591</v>
      </c>
      <c r="I4" s="2" t="s">
        <v>592</v>
      </c>
    </row>
    <row r="5" customFormat="false" ht="30" hidden="false" customHeight="true" outlineLevel="0" collapsed="false">
      <c r="A5" s="2" t="s">
        <v>593</v>
      </c>
      <c r="B5" s="2" t="s">
        <v>594</v>
      </c>
      <c r="C5" s="2" t="n">
        <v>2</v>
      </c>
      <c r="D5" s="2" t="n">
        <v>3</v>
      </c>
      <c r="E5" s="2" t="n">
        <f aca="false">C5*D5</f>
        <v>6</v>
      </c>
      <c r="F5" s="2" t="s">
        <v>595</v>
      </c>
      <c r="G5" s="2" t="s">
        <v>523</v>
      </c>
      <c r="H5" s="2" t="s">
        <v>596</v>
      </c>
      <c r="I5" s="2" t="s">
        <v>542</v>
      </c>
    </row>
    <row r="6" customFormat="false" ht="30" hidden="false" customHeight="true" outlineLevel="0" collapsed="false">
      <c r="A6" s="2" t="s">
        <v>597</v>
      </c>
      <c r="B6" s="2" t="s">
        <v>598</v>
      </c>
      <c r="C6" s="2" t="n">
        <v>2</v>
      </c>
      <c r="D6" s="2" t="n">
        <v>5</v>
      </c>
      <c r="E6" s="2" t="n">
        <f aca="false">C6*D6</f>
        <v>10</v>
      </c>
      <c r="F6" s="2" t="s">
        <v>599</v>
      </c>
      <c r="G6" s="2" t="s">
        <v>542</v>
      </c>
      <c r="H6" s="2" t="s">
        <v>600</v>
      </c>
      <c r="I6" s="2" t="s">
        <v>588</v>
      </c>
    </row>
    <row r="7" customFormat="false" ht="30" hidden="false" customHeight="true" outlineLevel="0" collapsed="false">
      <c r="A7" s="2" t="s">
        <v>601</v>
      </c>
      <c r="B7" s="2" t="s">
        <v>602</v>
      </c>
      <c r="C7" s="2" t="n">
        <v>3</v>
      </c>
      <c r="D7" s="2" t="n">
        <v>3</v>
      </c>
      <c r="E7" s="2" t="n">
        <f aca="false">C7*D7</f>
        <v>9</v>
      </c>
      <c r="F7" s="2" t="s">
        <v>432</v>
      </c>
      <c r="G7" s="2" t="s">
        <v>532</v>
      </c>
      <c r="H7" s="2" t="s">
        <v>603</v>
      </c>
      <c r="I7" s="2" t="s">
        <v>604</v>
      </c>
    </row>
    <row r="8" customFormat="false" ht="30" hidden="false" customHeight="true" outlineLevel="0" collapsed="false">
      <c r="A8" s="2" t="s">
        <v>605</v>
      </c>
      <c r="B8" s="2" t="s">
        <v>606</v>
      </c>
      <c r="C8" s="2" t="n">
        <v>3</v>
      </c>
      <c r="D8" s="2" t="n">
        <v>3</v>
      </c>
      <c r="E8" s="2" t="n">
        <f aca="false">C8*D8</f>
        <v>9</v>
      </c>
      <c r="F8" s="2" t="s">
        <v>607</v>
      </c>
      <c r="G8" s="2" t="s">
        <v>555</v>
      </c>
      <c r="H8" s="2" t="s">
        <v>608</v>
      </c>
      <c r="I8" s="2" t="s">
        <v>604</v>
      </c>
    </row>
    <row r="9" customFormat="false" ht="30" hidden="false" customHeight="true" outlineLevel="0" collapsed="false">
      <c r="A9" s="2" t="s">
        <v>609</v>
      </c>
      <c r="B9" s="2" t="s">
        <v>610</v>
      </c>
      <c r="C9" s="2" t="n">
        <v>2</v>
      </c>
      <c r="D9" s="2" t="n">
        <v>5</v>
      </c>
      <c r="E9" s="2" t="n">
        <f aca="false">C9*D9</f>
        <v>10</v>
      </c>
      <c r="F9" s="2" t="s">
        <v>586</v>
      </c>
      <c r="G9" s="2" t="s">
        <v>523</v>
      </c>
      <c r="H9" s="2" t="s">
        <v>611</v>
      </c>
      <c r="I9" s="2" t="s">
        <v>588</v>
      </c>
    </row>
    <row r="10" customFormat="false" ht="30" hidden="false" customHeight="true" outlineLevel="0" collapsed="false">
      <c r="A10" s="2" t="s">
        <v>612</v>
      </c>
      <c r="B10" s="2" t="s">
        <v>613</v>
      </c>
      <c r="C10" s="2" t="n">
        <v>4</v>
      </c>
      <c r="D10" s="2" t="n">
        <v>3</v>
      </c>
      <c r="E10" s="2" t="n">
        <f aca="false">C10*D10</f>
        <v>12</v>
      </c>
      <c r="F10" s="2" t="s">
        <v>607</v>
      </c>
      <c r="G10" s="2" t="s">
        <v>532</v>
      </c>
      <c r="H10" s="2" t="s">
        <v>614</v>
      </c>
      <c r="I10" s="2" t="s">
        <v>604</v>
      </c>
    </row>
    <row r="11" customFormat="false" ht="30" hidden="false" customHeight="true" outlineLevel="0" collapsed="false">
      <c r="A11" s="2" t="s">
        <v>615</v>
      </c>
      <c r="B11" s="2" t="s">
        <v>616</v>
      </c>
      <c r="C11" s="2" t="n">
        <v>3</v>
      </c>
      <c r="D11" s="2" t="n">
        <v>4</v>
      </c>
      <c r="E11" s="2" t="n">
        <f aca="false">C11*D11</f>
        <v>12</v>
      </c>
      <c r="F11" s="2" t="s">
        <v>617</v>
      </c>
      <c r="G11" s="2" t="s">
        <v>618</v>
      </c>
      <c r="H11" s="2" t="s">
        <v>619</v>
      </c>
      <c r="I11" s="2" t="s">
        <v>592</v>
      </c>
    </row>
    <row r="12" customFormat="false" ht="30" hidden="false" customHeight="true" outlineLevel="0" collapsed="false">
      <c r="A12" s="2" t="s">
        <v>620</v>
      </c>
      <c r="B12" s="2" t="s">
        <v>621</v>
      </c>
      <c r="C12" s="2" t="n">
        <v>3</v>
      </c>
      <c r="D12" s="2" t="n">
        <v>4</v>
      </c>
      <c r="E12" s="2" t="n">
        <f aca="false">C12*D12</f>
        <v>12</v>
      </c>
      <c r="F12" s="2" t="s">
        <v>432</v>
      </c>
      <c r="G12" s="2" t="s">
        <v>532</v>
      </c>
      <c r="H12" s="2" t="s">
        <v>622</v>
      </c>
      <c r="I12" s="2" t="s">
        <v>592</v>
      </c>
    </row>
    <row r="13" customFormat="false" ht="30" hidden="false" customHeight="true" outlineLevel="0" collapsed="false">
      <c r="A13" s="2" t="s">
        <v>623</v>
      </c>
      <c r="B13" s="2" t="s">
        <v>624</v>
      </c>
      <c r="C13" s="2" t="n">
        <v>2</v>
      </c>
      <c r="D13" s="2" t="n">
        <v>4</v>
      </c>
      <c r="E13" s="2" t="n">
        <f aca="false">C13*D13</f>
        <v>8</v>
      </c>
      <c r="F13" s="2" t="s">
        <v>625</v>
      </c>
      <c r="G13" s="2" t="s">
        <v>542</v>
      </c>
      <c r="H13" s="2" t="s">
        <v>626</v>
      </c>
      <c r="I13" s="2" t="s">
        <v>555</v>
      </c>
    </row>
    <row r="14" customFormat="false" ht="15" hidden="false" customHeight="false" outlineLevel="0" collapsed="false">
      <c r="A14" s="4" t="s">
        <v>627</v>
      </c>
      <c r="E14" s="4" t="n">
        <f aca="false">SUM(E2:E13)</f>
        <v>125</v>
      </c>
      <c r="I14" s="4" t="n">
        <f aca="false">SUM(I2:I13)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2026-05-17T10:51:51Z</dcterms:created>
  <dc:creator>openpyxl</dc:creator>
  <dc:description/>
  <dc:language>en-US</dc:language>
  <cp:lastModifiedBy/>
  <dcterms:modified xsi:type="dcterms:W3CDTF">2026-05-17T10:51:51Z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