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ons" sheetId="1" state="visible" r:id="rId3"/>
    <sheet name="Factors" sheetId="2" state="visible" r:id="rId4"/>
    <sheet name="ScoredMatrix" sheetId="3" state="visible" r:id="rId5"/>
    <sheet name="Commercial" sheetId="4" state="visible" r:id="rId6"/>
    <sheet name="Risk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<sst xmlns="http://schemas.openxmlformats.org/spreadsheetml/2006/main" count="170" uniqueCount="125">
  <si>
    <t xml:space="preserve">OPT-ID</t>
  </si>
  <si>
    <t xml:space="preserve">Name</t>
  </si>
  <si>
    <t xml:space="preserve">Type</t>
  </si>
  <si>
    <t xml:space="preserve">Disposition</t>
  </si>
  <si>
    <t xml:space="preserve">OPT-001</t>
  </si>
  <si>
    <t xml:space="preserve">MendoraCI</t>
  </si>
  <si>
    <t xml:space="preserve">AI-driven CI reliability + HITL governance + evidence</t>
  </si>
  <si>
    <t xml:space="preserve">Recommended</t>
  </si>
  <si>
    <t xml:space="preserve">OPT-002</t>
  </si>
  <si>
    <t xml:space="preserve">Roll-your-own (scripts + Slack + Jira)</t>
  </si>
  <si>
    <t xml:space="preserve">Status quo</t>
  </si>
  <si>
    <t xml:space="preserve">Fails governance</t>
  </si>
  <si>
    <t xml:space="preserve">OPT-003</t>
  </si>
  <si>
    <t xml:space="preserve">BuildPulse</t>
  </si>
  <si>
    <t xml:space="preserve">Flaky-test SaaS</t>
  </si>
  <si>
    <t xml:space="preserve">Adjacent, narrow</t>
  </si>
  <si>
    <t xml:space="preserve">OPT-004</t>
  </si>
  <si>
    <t xml:space="preserve">Trunk Flaky Tests</t>
  </si>
  <si>
    <t xml:space="preserve">Flaky-test SaaS + PR/Jira</t>
  </si>
  <si>
    <t xml:space="preserve">OPT-005</t>
  </si>
  <si>
    <t xml:space="preserve">Generic AI Copilot (Copilot/Q/Cursor)</t>
  </si>
  <si>
    <t xml:space="preserve">IDE assist</t>
  </si>
  <si>
    <t xml:space="preserve">Wrong layer</t>
  </si>
  <si>
    <t xml:space="preserve">OPT-006</t>
  </si>
  <si>
    <t xml:space="preserve">Datadog CI Visibility + governance overlay</t>
  </si>
  <si>
    <t xml:space="preserve">Observability + custom governance</t>
  </si>
  <si>
    <t xml:space="preserve">Heaviest competitor</t>
  </si>
  <si>
    <t xml:space="preserve">OPT-007</t>
  </si>
  <si>
    <t xml:space="preserve">CircleCI Insights + workflow rules</t>
  </si>
  <si>
    <t xml:space="preserve">CI-native dashboards</t>
  </si>
  <si>
    <t xml:space="preserve">Single-provider</t>
  </si>
  <si>
    <t xml:space="preserve">OPT-008</t>
  </si>
  <si>
    <t xml:space="preserve">Sentry (release health + alerts)</t>
  </si>
  <si>
    <t xml:space="preserve">Prod-side correlation</t>
  </si>
  <si>
    <t xml:space="preserve">Factor ID</t>
  </si>
  <si>
    <t xml:space="preserve">Factor Name</t>
  </si>
  <si>
    <t xml:space="preserve">Weight</t>
  </si>
  <si>
    <t xml:space="preserve">Sub-factors</t>
  </si>
  <si>
    <t xml:space="preserve">F1</t>
  </si>
  <si>
    <t xml:space="preserve">CI failure RCA depth</t>
  </si>
  <si>
    <t xml:space="preserve">F1a taxonomy breadth, F1b inference quality, F1c explainability</t>
  </si>
  <si>
    <t xml:space="preserve">F2</t>
  </si>
  <si>
    <t xml:space="preserve">Repair plan generation</t>
  </si>
  <si>
    <t xml:space="preserve">F2a schema, F2b alternatives, F2c blast-radius reasoning</t>
  </si>
  <si>
    <t xml:space="preserve">F3</t>
  </si>
  <si>
    <t xml:space="preserve">HITL governance</t>
  </si>
  <si>
    <t xml:space="preserve">F3a signed approvals, F3b dual-approval, F3c delegation</t>
  </si>
  <si>
    <t xml:space="preserve">F4</t>
  </si>
  <si>
    <t xml:space="preserve">Evidence / audit readiness</t>
  </si>
  <si>
    <t xml:space="preserve">F4a manifest, F4b signing, F4c retention, F4d Article 12 fit</t>
  </si>
  <si>
    <t xml:space="preserve">F5</t>
  </si>
  <si>
    <t xml:space="preserve">Secret masking determinism</t>
  </si>
  <si>
    <t xml:space="preserve">F5a patterns, F5b entropy, F5c deny-on-fail</t>
  </si>
  <si>
    <t xml:space="preserve">F6</t>
  </si>
  <si>
    <t xml:space="preserve">PromptOps governance</t>
  </si>
  <si>
    <t xml:space="preserve">F6a registry, F6b rollback, F6c canary</t>
  </si>
  <si>
    <t xml:space="preserve">F7</t>
  </si>
  <si>
    <t xml:space="preserve">Multi-provider CI coverage</t>
  </si>
  <si>
    <t xml:space="preserve">F7a GH/Jenkins/CircleCI/GitLab/Buildkite</t>
  </si>
  <si>
    <t xml:space="preserve">F8</t>
  </si>
  <si>
    <t xml:space="preserve">Multi-tenant isolation</t>
  </si>
  <si>
    <t xml:space="preserve">F8a RLS, F8b key-per-tenant</t>
  </si>
  <si>
    <t xml:space="preserve">F9</t>
  </si>
  <si>
    <t xml:space="preserve">Commercial fit / ACV</t>
  </si>
  <si>
    <t xml:space="preserve">F9a tiers, F9b expansion, F9c sales motion</t>
  </si>
  <si>
    <t xml:space="preserve">F10</t>
  </si>
  <si>
    <t xml:space="preserve">Demo readiness</t>
  </si>
  <si>
    <t xml:space="preserve">F10a 5-min flow, F10b deterministic seed</t>
  </si>
  <si>
    <t xml:space="preserve">F11</t>
  </si>
  <si>
    <t xml:space="preserve">Operational readiness</t>
  </si>
  <si>
    <t xml:space="preserve">F11a on-call, F11b observability, F11c chaos</t>
  </si>
  <si>
    <t xml:space="preserve">TOTAL</t>
  </si>
  <si>
    <t xml:space="preserve">Factor</t>
  </si>
  <si>
    <t xml:space="preserve">Roll-your-own</t>
  </si>
  <si>
    <t xml:space="preserve">Trunk</t>
  </si>
  <si>
    <t xml:space="preserve">Copilot</t>
  </si>
  <si>
    <t xml:space="preserve">Datadog+</t>
  </si>
  <si>
    <t xml:space="preserve">CircleCI Ins</t>
  </si>
  <si>
    <t xml:space="preserve">Sentry</t>
  </si>
  <si>
    <t xml:space="preserve">Weighted /500</t>
  </si>
  <si>
    <t xml:space="preserve">Score /100</t>
  </si>
  <si>
    <t xml:space="preserve">Note: Scores 0-5 per cell. Weighted = SUMPRODUCT(weights, scores). Score/100 = Weighted/5.</t>
  </si>
  <si>
    <t xml:space="preserve">Option</t>
  </si>
  <si>
    <t xml:space="preserve">License model</t>
  </si>
  <si>
    <t xml:space="preserve">ACV proxy</t>
  </si>
  <si>
    <t xml:space="preserve">Expansion friction</t>
  </si>
  <si>
    <t xml:space="preserve">Hybrid per-committer + flat governance</t>
  </si>
  <si>
    <t xml:space="preserve">$48K / $156K / $412K / $890K+ (Pilot/Team/Ent/Strategic)</t>
  </si>
  <si>
    <t xml:space="preserve">Low</t>
  </si>
  <si>
    <t xml:space="preserve">Internal cost</t>
  </si>
  <si>
    <t xml:space="preserve">~$300K/yr loaded (0.5 FTE platform + 0.25 FTE compliance)</t>
  </si>
  <si>
    <t xml:space="preserve">High</t>
  </si>
  <si>
    <t xml:space="preserve">Per-repo plans</t>
  </si>
  <si>
    <t xml:space="preserve">~$15K-$60K</t>
  </si>
  <si>
    <t xml:space="preserve">Per-seat</t>
  </si>
  <si>
    <t xml:space="preserve">$40K-$120K</t>
  </si>
  <si>
    <t xml:space="preserve">Copilot/Q</t>
  </si>
  <si>
    <t xml:space="preserve">$10-$39/dev/mo</t>
  </si>
  <si>
    <t xml:space="preserve">$24K-$94K for 200 devs</t>
  </si>
  <si>
    <t xml:space="preserve">Datadog</t>
  </si>
  <si>
    <t xml:space="preserve">$20/committer + Test Optim</t>
  </si>
  <si>
    <t xml:space="preserve">$48K-$150K for 200 devs</t>
  </si>
  <si>
    <t xml:space="preserve">Med - governance overlay maint</t>
  </si>
  <si>
    <t xml:space="preserve">CircleCI Insights</t>
  </si>
  <si>
    <t xml:space="preserve">Bundled w/ CircleCI</t>
  </si>
  <si>
    <t xml:space="preserve">Marginal</t>
  </si>
  <si>
    <t xml:space="preserve">Low (if on CircleCI)</t>
  </si>
  <si>
    <t xml:space="preserve">Per-event</t>
  </si>
  <si>
    <t xml:space="preserve">$30K-$80K</t>
  </si>
  <si>
    <t xml:space="preserve">Med</t>
  </si>
  <si>
    <t xml:space="preserve">Governance gap risk</t>
  </si>
  <si>
    <t xml:space="preserve">Vendor risk</t>
  </si>
  <si>
    <t xml:space="preserve">Audit risk (Art. 12)</t>
  </si>
  <si>
    <t xml:space="preserve">Low - purpose-built</t>
  </si>
  <si>
    <t xml:space="preserve">Medium (new vendor; mitigated by exportable evidence)</t>
  </si>
  <si>
    <t xml:space="preserve">High - Slack approvals not Article 12 evidence</t>
  </si>
  <si>
    <t xml:space="preserve">Internal</t>
  </si>
  <si>
    <t xml:space="preserve">High - no HITL, no evidence</t>
  </si>
  <si>
    <t xml:space="preserve">High - same</t>
  </si>
  <si>
    <t xml:space="preserve">Very high - no governance, raises instability (DORA 2025)</t>
  </si>
  <si>
    <t xml:space="preserve">Low (MS/AWS)</t>
  </si>
  <si>
    <t xml:space="preserve">Very high</t>
  </si>
  <si>
    <t xml:space="preserve">Medium - governance custom-built; lacks approval workflows</t>
  </si>
  <si>
    <t xml:space="preserve">Medium</t>
  </si>
  <si>
    <t xml:space="preserve">High - wrong layer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</si>
</sst>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15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22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25</v>
      </c>
      <c r="D7" s="2" t="s">
        <v>26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29</v>
      </c>
      <c r="D8" s="2" t="s">
        <v>30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33</v>
      </c>
      <c r="D9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24" hidden="false" customHeight="true" outlineLevel="0" collapsed="false">
      <c r="A1" s="1" t="s">
        <v>34</v>
      </c>
      <c r="B1" s="1" t="s">
        <v>35</v>
      </c>
      <c r="C1" s="1" t="s">
        <v>36</v>
      </c>
      <c r="D1" s="1" t="s">
        <v>37</v>
      </c>
    </row>
    <row r="2" customFormat="false" ht="15" hidden="false" customHeight="false" outlineLevel="0" collapsed="false">
      <c r="A2" s="2" t="s">
        <v>38</v>
      </c>
      <c r="B2" s="2" t="s">
        <v>39</v>
      </c>
      <c r="C2" s="2" t="n">
        <v>18</v>
      </c>
      <c r="D2" s="2" t="s">
        <v>40</v>
      </c>
    </row>
    <row r="3" customFormat="false" ht="15" hidden="false" customHeight="false" outlineLevel="0" collapsed="false">
      <c r="A3" s="2" t="s">
        <v>41</v>
      </c>
      <c r="B3" s="2" t="s">
        <v>42</v>
      </c>
      <c r="C3" s="2" t="n">
        <v>14</v>
      </c>
      <c r="D3" s="2" t="s">
        <v>43</v>
      </c>
    </row>
    <row r="4" customFormat="false" ht="15" hidden="false" customHeight="false" outlineLevel="0" collapsed="false">
      <c r="A4" s="2" t="s">
        <v>44</v>
      </c>
      <c r="B4" s="2" t="s">
        <v>45</v>
      </c>
      <c r="C4" s="2" t="n">
        <v>14</v>
      </c>
      <c r="D4" s="2" t="s">
        <v>46</v>
      </c>
    </row>
    <row r="5" customFormat="false" ht="15" hidden="false" customHeight="false" outlineLevel="0" collapsed="false">
      <c r="A5" s="2" t="s">
        <v>47</v>
      </c>
      <c r="B5" s="2" t="s">
        <v>48</v>
      </c>
      <c r="C5" s="2" t="n">
        <v>14</v>
      </c>
      <c r="D5" s="2" t="s">
        <v>49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n">
        <v>8</v>
      </c>
      <c r="D6" s="2" t="s">
        <v>52</v>
      </c>
    </row>
    <row r="7" customFormat="false" ht="15" hidden="false" customHeight="false" outlineLevel="0" collapsed="false">
      <c r="A7" s="2" t="s">
        <v>53</v>
      </c>
      <c r="B7" s="2" t="s">
        <v>54</v>
      </c>
      <c r="C7" s="2" t="n">
        <v>7</v>
      </c>
      <c r="D7" s="2" t="s">
        <v>55</v>
      </c>
    </row>
    <row r="8" customFormat="false" ht="15" hidden="false" customHeight="false" outlineLevel="0" collapsed="false">
      <c r="A8" s="2" t="s">
        <v>56</v>
      </c>
      <c r="B8" s="2" t="s">
        <v>57</v>
      </c>
      <c r="C8" s="2" t="n">
        <v>6</v>
      </c>
      <c r="D8" s="2" t="s">
        <v>58</v>
      </c>
    </row>
    <row r="9" customFormat="false" ht="15" hidden="false" customHeight="false" outlineLevel="0" collapsed="false">
      <c r="A9" s="2" t="s">
        <v>59</v>
      </c>
      <c r="B9" s="2" t="s">
        <v>60</v>
      </c>
      <c r="C9" s="2" t="n">
        <v>5</v>
      </c>
      <c r="D9" s="2" t="s">
        <v>61</v>
      </c>
    </row>
    <row r="10" customFormat="false" ht="15" hidden="false" customHeight="false" outlineLevel="0" collapsed="false">
      <c r="A10" s="2" t="s">
        <v>62</v>
      </c>
      <c r="B10" s="2" t="s">
        <v>63</v>
      </c>
      <c r="C10" s="2" t="n">
        <v>6</v>
      </c>
      <c r="D10" s="2" t="s">
        <v>64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2" t="n">
        <v>4</v>
      </c>
      <c r="D11" s="2" t="s">
        <v>67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2" t="n">
        <v>4</v>
      </c>
      <c r="D12" s="2" t="s">
        <v>70</v>
      </c>
    </row>
    <row r="13" customFormat="false" ht="15" hidden="false" customHeight="false" outlineLevel="0" collapsed="false">
      <c r="A13" s="3" t="s">
        <v>71</v>
      </c>
      <c r="C13" s="3" t="n">
        <f aca="false">SUM(C2:C12)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10" min="3" style="0" width="14"/>
  </cols>
  <sheetData>
    <row r="1" customFormat="false" ht="24" hidden="false" customHeight="true" outlineLevel="0" collapsed="false">
      <c r="A1" s="1" t="s">
        <v>72</v>
      </c>
      <c r="B1" s="1" t="s">
        <v>36</v>
      </c>
      <c r="C1" s="1" t="s">
        <v>5</v>
      </c>
      <c r="D1" s="1" t="s">
        <v>73</v>
      </c>
      <c r="E1" s="1" t="s">
        <v>13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customFormat="false" ht="15" hidden="false" customHeight="false" outlineLevel="0" collapsed="false">
      <c r="A2" s="2" t="s">
        <v>39</v>
      </c>
      <c r="B2" s="4" t="n">
        <v>18</v>
      </c>
      <c r="C2" s="4" t="n">
        <v>5</v>
      </c>
      <c r="D2" s="4" t="n">
        <v>1</v>
      </c>
      <c r="E2" s="4" t="n">
        <v>2</v>
      </c>
      <c r="F2" s="4" t="n">
        <v>2</v>
      </c>
      <c r="G2" s="4" t="n">
        <v>3</v>
      </c>
      <c r="H2" s="4" t="n">
        <v>3</v>
      </c>
      <c r="I2" s="4" t="n">
        <v>2</v>
      </c>
      <c r="J2" s="4" t="n">
        <v>2</v>
      </c>
    </row>
    <row r="3" customFormat="false" ht="15" hidden="false" customHeight="false" outlineLevel="0" collapsed="false">
      <c r="A3" s="2" t="s">
        <v>42</v>
      </c>
      <c r="B3" s="4" t="n">
        <v>14</v>
      </c>
      <c r="C3" s="4" t="n">
        <v>5</v>
      </c>
      <c r="D3" s="4" t="n">
        <v>1</v>
      </c>
      <c r="E3" s="4" t="n">
        <v>1</v>
      </c>
      <c r="F3" s="4" t="n">
        <v>2</v>
      </c>
      <c r="G3" s="4" t="n">
        <v>3</v>
      </c>
      <c r="H3" s="4" t="n">
        <v>1</v>
      </c>
      <c r="I3" s="4" t="n">
        <v>1</v>
      </c>
      <c r="J3" s="4" t="n">
        <v>1</v>
      </c>
    </row>
    <row r="4" customFormat="false" ht="15" hidden="false" customHeight="false" outlineLevel="0" collapsed="false">
      <c r="A4" s="2" t="s">
        <v>45</v>
      </c>
      <c r="B4" s="4" t="n">
        <v>14</v>
      </c>
      <c r="C4" s="4" t="n">
        <v>5</v>
      </c>
      <c r="D4" s="4" t="n">
        <v>1</v>
      </c>
      <c r="E4" s="4" t="n">
        <v>1</v>
      </c>
      <c r="F4" s="4" t="n">
        <v>2</v>
      </c>
      <c r="G4" s="4" t="n">
        <v>0</v>
      </c>
      <c r="H4" s="4" t="n">
        <v>1</v>
      </c>
      <c r="I4" s="4" t="n">
        <v>1</v>
      </c>
      <c r="J4" s="4" t="n">
        <v>1</v>
      </c>
    </row>
    <row r="5" customFormat="false" ht="15" hidden="false" customHeight="false" outlineLevel="0" collapsed="false">
      <c r="A5" s="2" t="s">
        <v>48</v>
      </c>
      <c r="B5" s="4" t="n">
        <v>14</v>
      </c>
      <c r="C5" s="4" t="n">
        <v>5</v>
      </c>
      <c r="D5" s="4" t="n">
        <v>0</v>
      </c>
      <c r="E5" s="4" t="n">
        <v>1</v>
      </c>
      <c r="F5" s="4" t="n">
        <v>1</v>
      </c>
      <c r="G5" s="4" t="n">
        <v>0</v>
      </c>
      <c r="H5" s="4" t="n">
        <v>2</v>
      </c>
      <c r="I5" s="4" t="n">
        <v>1</v>
      </c>
      <c r="J5" s="4" t="n">
        <v>1</v>
      </c>
    </row>
    <row r="6" customFormat="false" ht="15" hidden="false" customHeight="false" outlineLevel="0" collapsed="false">
      <c r="A6" s="2" t="s">
        <v>51</v>
      </c>
      <c r="B6" s="4" t="n">
        <v>8</v>
      </c>
      <c r="C6" s="4" t="n">
        <v>5</v>
      </c>
      <c r="D6" s="4" t="n">
        <v>1</v>
      </c>
      <c r="E6" s="4" t="n">
        <v>2</v>
      </c>
      <c r="F6" s="4" t="n">
        <v>2</v>
      </c>
      <c r="G6" s="4" t="n">
        <v>1</v>
      </c>
      <c r="H6" s="4" t="n">
        <v>3</v>
      </c>
      <c r="I6" s="4" t="n">
        <v>1</v>
      </c>
      <c r="J6" s="4" t="n">
        <v>2</v>
      </c>
    </row>
    <row r="7" customFormat="false" ht="15" hidden="false" customHeight="false" outlineLevel="0" collapsed="false">
      <c r="A7" s="2" t="s">
        <v>54</v>
      </c>
      <c r="B7" s="4" t="n">
        <v>7</v>
      </c>
      <c r="C7" s="4" t="n">
        <v>5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</row>
    <row r="8" customFormat="false" ht="15" hidden="false" customHeight="false" outlineLevel="0" collapsed="false">
      <c r="A8" s="2" t="s">
        <v>57</v>
      </c>
      <c r="B8" s="4" t="n">
        <v>6</v>
      </c>
      <c r="C8" s="4" t="n">
        <v>4</v>
      </c>
      <c r="D8" s="4" t="n">
        <v>3</v>
      </c>
      <c r="E8" s="4" t="n">
        <v>5</v>
      </c>
      <c r="F8" s="4" t="n">
        <v>5</v>
      </c>
      <c r="G8" s="4" t="n">
        <v>5</v>
      </c>
      <c r="H8" s="4" t="n">
        <v>5</v>
      </c>
      <c r="I8" s="4" t="n">
        <v>1</v>
      </c>
      <c r="J8" s="4" t="n">
        <v>4</v>
      </c>
    </row>
    <row r="9" customFormat="false" ht="15" hidden="false" customHeight="false" outlineLevel="0" collapsed="false">
      <c r="A9" s="2" t="s">
        <v>60</v>
      </c>
      <c r="B9" s="4" t="n">
        <v>5</v>
      </c>
      <c r="C9" s="4" t="n">
        <v>4</v>
      </c>
      <c r="D9" s="4" t="n">
        <v>1</v>
      </c>
      <c r="E9" s="4" t="n">
        <v>4</v>
      </c>
      <c r="F9" s="4" t="n">
        <v>4</v>
      </c>
      <c r="G9" s="4" t="n">
        <v>4</v>
      </c>
      <c r="H9" s="4" t="n">
        <v>5</v>
      </c>
      <c r="I9" s="4" t="n">
        <v>4</v>
      </c>
      <c r="J9" s="4" t="n">
        <v>4</v>
      </c>
    </row>
    <row r="10" customFormat="false" ht="15" hidden="false" customHeight="false" outlineLevel="0" collapsed="false">
      <c r="A10" s="2" t="s">
        <v>63</v>
      </c>
      <c r="B10" s="4" t="n">
        <v>6</v>
      </c>
      <c r="C10" s="4" t="n">
        <v>4</v>
      </c>
      <c r="D10" s="4" t="n">
        <v>1</v>
      </c>
      <c r="E10" s="4" t="n">
        <v>4</v>
      </c>
      <c r="F10" s="4" t="n">
        <v>4</v>
      </c>
      <c r="G10" s="4" t="n">
        <v>5</v>
      </c>
      <c r="H10" s="4" t="n">
        <v>5</v>
      </c>
      <c r="I10" s="4" t="n">
        <v>4</v>
      </c>
      <c r="J10" s="4" t="n">
        <v>4</v>
      </c>
    </row>
    <row r="11" customFormat="false" ht="15" hidden="false" customHeight="false" outlineLevel="0" collapsed="false">
      <c r="A11" s="2" t="s">
        <v>66</v>
      </c>
      <c r="B11" s="4" t="n">
        <v>4</v>
      </c>
      <c r="C11" s="4" t="n">
        <v>4</v>
      </c>
      <c r="D11" s="4" t="n">
        <v>1</v>
      </c>
      <c r="E11" s="4" t="n">
        <v>4</v>
      </c>
      <c r="F11" s="4" t="n">
        <v>4</v>
      </c>
      <c r="G11" s="4" t="n">
        <v>5</v>
      </c>
      <c r="H11" s="4" t="n">
        <v>3</v>
      </c>
      <c r="I11" s="4" t="n">
        <v>3</v>
      </c>
      <c r="J11" s="4" t="n">
        <v>3</v>
      </c>
    </row>
    <row r="12" customFormat="false" ht="15" hidden="false" customHeight="false" outlineLevel="0" collapsed="false">
      <c r="A12" s="2" t="s">
        <v>69</v>
      </c>
      <c r="B12" s="4" t="n">
        <v>4</v>
      </c>
      <c r="C12" s="4" t="n">
        <v>3</v>
      </c>
      <c r="D12" s="4" t="n">
        <v>1</v>
      </c>
      <c r="E12" s="4" t="n">
        <v>4</v>
      </c>
      <c r="F12" s="4" t="n">
        <v>4</v>
      </c>
      <c r="G12" s="4" t="n">
        <v>5</v>
      </c>
      <c r="H12" s="4" t="n">
        <v>5</v>
      </c>
      <c r="I12" s="4" t="n">
        <v>4</v>
      </c>
      <c r="J12" s="4" t="n">
        <v>4</v>
      </c>
    </row>
    <row r="13" customFormat="false" ht="15" hidden="false" customHeight="false" outlineLevel="0" collapsed="false">
      <c r="A13" s="5" t="s">
        <v>79</v>
      </c>
      <c r="B13" s="5"/>
      <c r="C13" s="6" t="n">
        <f aca="false">SUMPRODUCT($B$2:$B$12,C2:C12)</f>
        <v>471</v>
      </c>
      <c r="D13" s="6" t="n">
        <f aca="false">SUMPRODUCT($B$2:$B$12,D2:D12)</f>
        <v>91</v>
      </c>
      <c r="E13" s="6" t="n">
        <f aca="false">SUMPRODUCT($B$2:$B$12,E2:E12)</f>
        <v>200</v>
      </c>
      <c r="F13" s="6" t="n">
        <f aca="false">SUMPRODUCT($B$2:$B$12,F2:F12)</f>
        <v>228</v>
      </c>
      <c r="G13" s="6" t="n">
        <f aca="false">SUMPRODUCT($B$2:$B$12,G2:G12)</f>
        <v>231</v>
      </c>
      <c r="H13" s="6" t="n">
        <f aca="false">SUMPRODUCT($B$2:$B$12,H2:H12)</f>
        <v>251</v>
      </c>
      <c r="I13" s="6" t="n">
        <f aca="false">SUMPRODUCT($B$2:$B$12,I2:I12)</f>
        <v>164</v>
      </c>
      <c r="J13" s="6" t="n">
        <f aca="false">SUMPRODUCT($B$2:$B$12,J2:J12)</f>
        <v>190</v>
      </c>
    </row>
    <row r="14" customFormat="false" ht="15" hidden="false" customHeight="false" outlineLevel="0" collapsed="false">
      <c r="A14" s="5" t="s">
        <v>80</v>
      </c>
      <c r="B14" s="5"/>
      <c r="C14" s="7" t="n">
        <f aca="false">C13/5</f>
        <v>94.2</v>
      </c>
      <c r="D14" s="7" t="n">
        <f aca="false">D13/5</f>
        <v>18.2</v>
      </c>
      <c r="E14" s="7" t="n">
        <f aca="false">E13/5</f>
        <v>40</v>
      </c>
      <c r="F14" s="7" t="n">
        <f aca="false">F13/5</f>
        <v>45.6</v>
      </c>
      <c r="G14" s="7" t="n">
        <f aca="false">G13/5</f>
        <v>46.2</v>
      </c>
      <c r="H14" s="7" t="n">
        <f aca="false">H13/5</f>
        <v>50.2</v>
      </c>
      <c r="I14" s="7" t="n">
        <f aca="false">I13/5</f>
        <v>32.8</v>
      </c>
      <c r="J14" s="7" t="n">
        <f aca="false">J13/5</f>
        <v>38</v>
      </c>
    </row>
    <row r="16" customFormat="false" ht="15" hidden="false" customHeight="false" outlineLevel="0" collapsed="false">
      <c r="A16" s="8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55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82</v>
      </c>
      <c r="B1" s="1" t="s">
        <v>83</v>
      </c>
      <c r="C1" s="1" t="s">
        <v>84</v>
      </c>
      <c r="D1" s="1" t="s">
        <v>85</v>
      </c>
    </row>
    <row r="2" customFormat="false" ht="15" hidden="false" customHeight="false" outlineLevel="0" collapsed="false">
      <c r="A2" s="2" t="s">
        <v>5</v>
      </c>
      <c r="B2" s="2" t="s">
        <v>86</v>
      </c>
      <c r="C2" s="2" t="s">
        <v>87</v>
      </c>
      <c r="D2" s="2" t="s">
        <v>88</v>
      </c>
    </row>
    <row r="3" customFormat="false" ht="15" hidden="false" customHeight="false" outlineLevel="0" collapsed="false">
      <c r="A3" s="2" t="s">
        <v>73</v>
      </c>
      <c r="B3" s="2" t="s">
        <v>89</v>
      </c>
      <c r="C3" s="2" t="s">
        <v>90</v>
      </c>
      <c r="D3" s="2" t="s">
        <v>91</v>
      </c>
    </row>
    <row r="4" customFormat="false" ht="15" hidden="false" customHeight="false" outlineLevel="0" collapsed="false">
      <c r="A4" s="2" t="s">
        <v>13</v>
      </c>
      <c r="B4" s="2" t="s">
        <v>92</v>
      </c>
      <c r="C4" s="2" t="s">
        <v>93</v>
      </c>
      <c r="D4" s="2" t="s">
        <v>88</v>
      </c>
    </row>
    <row r="5" customFormat="false" ht="15" hidden="false" customHeight="false" outlineLevel="0" collapsed="false">
      <c r="A5" s="2" t="s">
        <v>74</v>
      </c>
      <c r="B5" s="2" t="s">
        <v>94</v>
      </c>
      <c r="C5" s="2" t="s">
        <v>95</v>
      </c>
      <c r="D5" s="2" t="s">
        <v>88</v>
      </c>
    </row>
    <row r="6" customFormat="false" ht="15" hidden="false" customHeight="false" outlineLevel="0" collapsed="false">
      <c r="A6" s="2" t="s">
        <v>96</v>
      </c>
      <c r="B6" s="2" t="s">
        <v>97</v>
      </c>
      <c r="C6" s="2" t="s">
        <v>98</v>
      </c>
      <c r="D6" s="2" t="s">
        <v>88</v>
      </c>
    </row>
    <row r="7" customFormat="false" ht="15" hidden="false" customHeight="false" outlineLevel="0" collapsed="false">
      <c r="A7" s="2" t="s">
        <v>99</v>
      </c>
      <c r="B7" s="2" t="s">
        <v>100</v>
      </c>
      <c r="C7" s="2" t="s">
        <v>101</v>
      </c>
      <c r="D7" s="2" t="s">
        <v>102</v>
      </c>
    </row>
    <row r="8" customFormat="false" ht="15" hidden="false" customHeight="false" outlineLevel="0" collapsed="false">
      <c r="A8" s="2" t="s">
        <v>103</v>
      </c>
      <c r="B8" s="2" t="s">
        <v>104</v>
      </c>
      <c r="C8" s="2" t="s">
        <v>105</v>
      </c>
      <c r="D8" s="2" t="s">
        <v>106</v>
      </c>
    </row>
    <row r="9" customFormat="false" ht="15" hidden="false" customHeight="false" outlineLevel="0" collapsed="false">
      <c r="A9" s="2" t="s">
        <v>78</v>
      </c>
      <c r="B9" s="2" t="s">
        <v>107</v>
      </c>
      <c r="C9" s="2" t="s">
        <v>108</v>
      </c>
      <c r="D9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35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" t="s">
        <v>82</v>
      </c>
      <c r="B1" s="1" t="s">
        <v>110</v>
      </c>
      <c r="C1" s="1" t="s">
        <v>111</v>
      </c>
      <c r="D1" s="1" t="s">
        <v>112</v>
      </c>
    </row>
    <row r="2" customFormat="false" ht="23.85" hidden="false" customHeight="false" outlineLevel="0" collapsed="false">
      <c r="A2" s="2" t="s">
        <v>5</v>
      </c>
      <c r="B2" s="2" t="s">
        <v>113</v>
      </c>
      <c r="C2" s="2" t="s">
        <v>114</v>
      </c>
      <c r="D2" s="2" t="s">
        <v>88</v>
      </c>
    </row>
    <row r="3" customFormat="false" ht="15" hidden="false" customHeight="false" outlineLevel="0" collapsed="false">
      <c r="A3" s="2" t="s">
        <v>73</v>
      </c>
      <c r="B3" s="2" t="s">
        <v>115</v>
      </c>
      <c r="C3" s="2" t="s">
        <v>116</v>
      </c>
      <c r="D3" s="2" t="s">
        <v>91</v>
      </c>
    </row>
    <row r="4" customFormat="false" ht="15" hidden="false" customHeight="false" outlineLevel="0" collapsed="false">
      <c r="A4" s="2" t="s">
        <v>13</v>
      </c>
      <c r="B4" s="2" t="s">
        <v>117</v>
      </c>
      <c r="C4" s="2" t="s">
        <v>88</v>
      </c>
      <c r="D4" s="2" t="s">
        <v>91</v>
      </c>
    </row>
    <row r="5" customFormat="false" ht="15" hidden="false" customHeight="false" outlineLevel="0" collapsed="false">
      <c r="A5" s="2" t="s">
        <v>74</v>
      </c>
      <c r="B5" s="2" t="s">
        <v>118</v>
      </c>
      <c r="C5" s="2" t="s">
        <v>88</v>
      </c>
      <c r="D5" s="2" t="s">
        <v>91</v>
      </c>
    </row>
    <row r="6" customFormat="false" ht="23.85" hidden="false" customHeight="false" outlineLevel="0" collapsed="false">
      <c r="A6" s="2" t="s">
        <v>96</v>
      </c>
      <c r="B6" s="2" t="s">
        <v>119</v>
      </c>
      <c r="C6" s="2" t="s">
        <v>120</v>
      </c>
      <c r="D6" s="2" t="s">
        <v>121</v>
      </c>
    </row>
    <row r="7" customFormat="false" ht="23.85" hidden="false" customHeight="false" outlineLevel="0" collapsed="false">
      <c r="A7" s="2" t="s">
        <v>76</v>
      </c>
      <c r="B7" s="2" t="s">
        <v>122</v>
      </c>
      <c r="C7" s="2" t="s">
        <v>88</v>
      </c>
      <c r="D7" s="2" t="s">
        <v>123</v>
      </c>
    </row>
    <row r="8" customFormat="false" ht="15" hidden="false" customHeight="false" outlineLevel="0" collapsed="false">
      <c r="A8" s="2" t="s">
        <v>103</v>
      </c>
      <c r="B8" s="2" t="s">
        <v>91</v>
      </c>
      <c r="C8" s="2" t="s">
        <v>88</v>
      </c>
      <c r="D8" s="2" t="s">
        <v>91</v>
      </c>
    </row>
    <row r="9" customFormat="false" ht="15" hidden="false" customHeight="false" outlineLevel="0" collapsed="false">
      <c r="A9" s="2" t="s">
        <v>78</v>
      </c>
      <c r="B9" s="2" t="s">
        <v>124</v>
      </c>
      <c r="C9" s="2" t="s">
        <v>88</v>
      </c>
      <c r="D9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2026-05-17T10:51:51Z</dcterms:created>
  <dc:creator>openpyxl</dc:creator>
  <dc:description/>
  <dc:language>en-US</dc:language>
  <cp:lastModifiedBy/>
  <dcterms:modified xsi:type="dcterms:W3CDTF">2026-05-17T10:51:51Z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